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2025'!$C$3:$J$112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2025'!$C$4:$L$266</definedName>
    <definedName hidden="1" localSheetId="5" name="_xlnm._FilterDatabase">'Resumen para BOT'!$A$1:$C$99</definedName>
  </definedNames>
  <calcPr/>
  <extLst>
    <ext uri="GoogleSheetsCustomDataVersion2">
      <go:sheetsCustomData xmlns:go="http://customooxmlschemas.google.com/" r:id="rId10" roundtripDataChecksum="Afaftl1Mj5hN8PmO9rciZvzxjWi5KtUl3rjwkAokMAM="/>
    </ext>
  </extLst>
</workbook>
</file>

<file path=xl/sharedStrings.xml><?xml version="1.0" encoding="utf-8"?>
<sst xmlns="http://schemas.openxmlformats.org/spreadsheetml/2006/main" count="892" uniqueCount="272">
  <si>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</si>
  <si>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</si>
  <si>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</si>
  <si>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</si>
  <si>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</si>
  <si>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</si>
  <si>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</si>
  <si>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</si>
  <si>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</si>
  <si>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</si>
  <si>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</si>
  <si>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</si>
  <si>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</si>
  <si>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</si>
  <si>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</si>
  <si>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</si>
  <si>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</si>
  <si>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</si>
  <si>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</si>
  <si>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</si>
  <si>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</si>
  <si>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</si>
  <si>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</si>
  <si>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</si>
  <si>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</si>
  <si>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</si>
  <si>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</si>
  <si>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</si>
  <si>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</si>
  <si>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</si>
  <si>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</si>
  <si>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</si>
  <si>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</si>
  <si>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</si>
  <si>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</si>
  <si>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</si>
  <si>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</si>
  <si>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</si>
  <si>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</si>
  <si>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</si>
  <si>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</si>
  <si>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</si>
  <si>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</si>
  <si>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</si>
  <si>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</si>
  <si>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</si>
  <si>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</si>
  <si>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</si>
  <si>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</si>
  <si>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</si>
  <si>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</si>
  <si>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</si>
  <si>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</si>
  <si>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</si>
  <si>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</si>
  <si>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</si>
  <si>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</si>
  <si>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</si>
  <si>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</si>
  <si>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</si>
  <si>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</si>
  <si>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</si>
  <si>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</si>
  <si>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</si>
  <si>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</si>
  <si>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</si>
  <si>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</si>
  <si>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</si>
  <si>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</si>
  <si>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</si>
  <si>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</si>
  <si>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</si>
  <si>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</si>
  <si>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</si>
  <si>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</si>
  <si>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</si>
  <si>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</si>
  <si>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</si>
  <si>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</si>
  <si>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</si>
  <si>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</si>
  <si>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</si>
  <si>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</si>
  <si>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</si>
  <si>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</si>
  <si>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</si>
  <si>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</si>
  <si>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</si>
  <si>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</si>
  <si>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</si>
  <si>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</si>
  <si>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</si>
  <si>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</si>
  <si>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</si>
  <si>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</si>
  <si>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</si>
  <si>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</si>
  <si>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</si>
  <si>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</si>
  <si>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</si>
  <si>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</si>
  <si>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</si>
  <si>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</si>
  <si>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</si>
  <si>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</si>
  <si>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</si>
  <si>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</si>
  <si>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</si>
  <si>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</si>
  <si>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</si>
  <si>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</si>
  <si>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</si>
  <si>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</si>
  <si>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</si>
  <si>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</si>
  <si>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</si>
  <si>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</si>
  <si>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</si>
  <si>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</si>
  <si>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</si>
  <si>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</si>
  <si>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</si>
  <si>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</si>
  <si>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</si>
  <si>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</si>
  <si>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</si>
  <si>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</si>
  <si>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</si>
  <si>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</si>
  <si>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</si>
  <si>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</si>
  <si>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</si>
  <si>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</si>
  <si>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</si>
  <si>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</si>
  <si>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</si>
  <si>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</si>
  <si>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</si>
  <si>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</si>
  <si>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</si>
  <si>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</si>
  <si>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</si>
  <si>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</si>
  <si>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</si>
  <si>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</si>
  <si>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</si>
  <si>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</si>
  <si>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</si>
  <si>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</si>
  <si>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</si>
  <si>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</si>
  <si>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</si>
  <si>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</si>
  <si>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</si>
  <si>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</si>
  <si>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</si>
  <si>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</si>
  <si>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</si>
  <si>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</si>
  <si>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</si>
  <si>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</si>
  <si>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</si>
  <si>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</si>
  <si>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</si>
  <si>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FIMIANI JUAN MANUEL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</si>
  <si>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</si>
  <si>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</si>
  <si>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</si>
  <si>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</si>
  <si>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</si>
  <si>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</si>
  <si>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</si>
  <si>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</si>
  <si>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</si>
  <si>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</si>
  <si>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</si>
  <si>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Romano, Valentino</t>
  </si>
  <si>
    <t>Marciano Valentin</t>
  </si>
  <si>
    <t>EV</t>
  </si>
  <si>
    <t>Gavalda Geronimo</t>
  </si>
  <si>
    <t>B</t>
  </si>
  <si>
    <t>BAJA</t>
  </si>
  <si>
    <t>Toledo Martin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</si>
  <si>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</si>
  <si>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</si>
  <si>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</si>
  <si>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</si>
  <si>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</si>
  <si>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</si>
  <si>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</si>
  <si>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</si>
  <si>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</si>
  <si>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</si>
  <si>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</si>
  <si>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</si>
  <si>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</si>
  <si>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</si>
  <si>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</si>
  <si>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</si>
  <si>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</si>
  <si>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</si>
  <si>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</si>
  <si>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</si>
  <si>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</si>
  <si>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</si>
  <si>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</si>
  <si>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</si>
  <si>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</si>
  <si>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</si>
  <si>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</si>
  <si>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</si>
  <si>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</si>
  <si>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</si>
  <si>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</si>
  <si>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</si>
  <si>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</si>
  <si>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</si>
  <si>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</si>
  <si>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</si>
  <si>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</si>
  <si>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</si>
  <si>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</si>
  <si>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</si>
  <si>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Fernández Lucas Celestino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</si>
  <si>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</si>
  <si>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</si>
  <si>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</si>
  <si>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</si>
  <si>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</si>
  <si>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</si>
  <si>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</si>
  <si>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</si>
  <si>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</si>
  <si>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</si>
  <si>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</si>
  <si>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</si>
  <si>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</si>
  <si>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</si>
  <si>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</si>
  <si>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</si>
  <si>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Montenovo Valentino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</si>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</sst>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8" fillId="2" fontId="11" numFmtId="0" xfId="0" applyAlignment="1" applyBorder="1" applyFont="1">
      <alignment horizontal="center" vertical="center"/>
    </xf>
    <xf borderId="2" fillId="0" fontId="11" numFmtId="0" xfId="0" applyAlignment="1" applyBorder="1" applyFont="1">
      <alignment horizontal="center" vertical="center"/>
    </xf>
    <xf borderId="7" fillId="0" fontId="10" numFmtId="1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7" fillId="0" fontId="10" numFmtId="164" xfId="0" applyAlignment="1" applyBorder="1" applyFont="1" applyNumberFormat="1">
      <alignment horizontal="center" vertical="center"/>
    </xf>
    <xf borderId="7" fillId="0" fontId="10" numFmtId="2" xfId="0" applyAlignment="1" applyBorder="1" applyFont="1" applyNumberFormat="1">
      <alignment horizontal="center" vertical="center"/>
    </xf>
    <xf borderId="2" fillId="0" fontId="10" numFmtId="166" xfId="0" applyAlignment="1" applyBorder="1" applyFont="1" applyNumberFormat="1">
      <alignment horizontal="center" vertical="center"/>
    </xf>
    <xf borderId="7" fillId="0" fontId="18" numFmtId="166" xfId="0" applyAlignment="1" applyBorder="1" applyFont="1" applyNumberFormat="1">
      <alignment horizontal="center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/>
      <c r="J4" s="21"/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164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39"/>
      <c r="J21" s="91"/>
      <c r="K21" s="41" t="str">
        <f t="shared" si="11"/>
        <v/>
      </c>
      <c r="L21" s="41">
        <f t="shared" si="12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31" si="15">IF(I26="","",+J26-I26+1)</f>
        <v/>
      </c>
      <c r="L26" s="41">
        <f t="shared" ref="L26:L44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9"/>
      <c r="J27" s="94"/>
      <c r="K27" s="57" t="str">
        <f t="shared" si="15"/>
        <v/>
      </c>
      <c r="L27" s="57">
        <f t="shared" si="16"/>
        <v>28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9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100"/>
      <c r="J29" s="91"/>
      <c r="K29" s="41" t="str">
        <f t="shared" si="15"/>
        <v/>
      </c>
      <c r="L29" s="41">
        <f t="shared" si="16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101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44" si="17">+(F32-E32)/365</f>
        <v>10.38082192</v>
      </c>
      <c r="H32" s="38">
        <f t="shared" ref="H32:H44" si="18">+IF((F32-E32)&lt;(182.5),((F32-E32)/30*24)/20,IF(AND(G32&gt;0.5,G32&lt;=5),14,IF(AND(G32&gt;5,G32&lt;=10),21,IF(AND(G32&gt;10,G32&lt;=20),28,35))))</f>
        <v>28</v>
      </c>
      <c r="I32" s="39"/>
      <c r="J32" s="91"/>
      <c r="K32" s="41" t="str">
        <f>IF(I32="","",+J33-I32+1)</f>
        <v/>
      </c>
      <c r="L32" s="41">
        <f t="shared" si="16"/>
        <v>28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>IF(I33="","",+#REF!-I33+1)</f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39"/>
      <c r="J34" s="91"/>
      <c r="K34" s="41" t="str">
        <f t="shared" ref="K34:K44" si="19">IF(I34="","",+J34-I34+1)</f>
        <v/>
      </c>
      <c r="L34" s="41">
        <f t="shared" si="16"/>
        <v>28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39"/>
      <c r="J35" s="91"/>
      <c r="K35" s="41" t="str">
        <f t="shared" si="19"/>
        <v/>
      </c>
      <c r="L35" s="41">
        <f t="shared" si="16"/>
        <v>21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38</v>
      </c>
      <c r="D36" s="35">
        <v>15.0</v>
      </c>
      <c r="E36" s="36">
        <v>43304.0</v>
      </c>
      <c r="F36" s="36">
        <v>46022.0</v>
      </c>
      <c r="G36" s="54">
        <f t="shared" si="17"/>
        <v>7.446575342</v>
      </c>
      <c r="H36" s="38">
        <f t="shared" si="18"/>
        <v>21</v>
      </c>
      <c r="I36" s="39">
        <v>46015.0</v>
      </c>
      <c r="J36" s="91">
        <v>46024.0</v>
      </c>
      <c r="K36" s="41">
        <f t="shared" si="19"/>
        <v>10</v>
      </c>
      <c r="L36" s="41">
        <f t="shared" si="16"/>
        <v>26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44</v>
      </c>
      <c r="D37" s="35">
        <v>27.0</v>
      </c>
      <c r="E37" s="36">
        <v>43346.0</v>
      </c>
      <c r="F37" s="36">
        <v>46022.0</v>
      </c>
      <c r="G37" s="54">
        <f t="shared" si="17"/>
        <v>7.331506849</v>
      </c>
      <c r="H37" s="38">
        <f t="shared" si="18"/>
        <v>21</v>
      </c>
      <c r="I37" s="39"/>
      <c r="J37" s="91"/>
      <c r="K37" s="41" t="str">
        <f t="shared" si="19"/>
        <v/>
      </c>
      <c r="L37" s="41">
        <f t="shared" si="16"/>
        <v>21</v>
      </c>
      <c r="M37" s="55"/>
      <c r="N37" s="55"/>
      <c r="O37" s="55"/>
      <c r="P37" s="55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101</v>
      </c>
      <c r="D38" s="35"/>
      <c r="E38" s="36">
        <v>44818.0</v>
      </c>
      <c r="F38" s="36">
        <v>46022.0</v>
      </c>
      <c r="G38" s="54">
        <f t="shared" si="17"/>
        <v>3.298630137</v>
      </c>
      <c r="H38" s="38">
        <f t="shared" si="18"/>
        <v>14</v>
      </c>
      <c r="I38" s="39">
        <v>46048.0</v>
      </c>
      <c r="J38" s="102">
        <v>46061.0</v>
      </c>
      <c r="K38" s="41">
        <f t="shared" si="19"/>
        <v>14</v>
      </c>
      <c r="L38" s="41">
        <f t="shared" si="16"/>
        <v>0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114</v>
      </c>
      <c r="D39" s="35">
        <v>6.0</v>
      </c>
      <c r="E39" s="36">
        <v>42121.0</v>
      </c>
      <c r="F39" s="36">
        <v>46022.0</v>
      </c>
      <c r="G39" s="54">
        <f t="shared" si="17"/>
        <v>10.68767123</v>
      </c>
      <c r="H39" s="38">
        <f t="shared" si="18"/>
        <v>28</v>
      </c>
      <c r="I39" s="39">
        <v>46055.0</v>
      </c>
      <c r="J39" s="98">
        <v>46066.0</v>
      </c>
      <c r="K39" s="41">
        <f t="shared" si="19"/>
        <v>12</v>
      </c>
      <c r="L39" s="41">
        <f t="shared" si="16"/>
        <v>22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116</v>
      </c>
      <c r="D40" s="35">
        <v>4.0</v>
      </c>
      <c r="E40" s="36">
        <v>45019.0</v>
      </c>
      <c r="F40" s="36">
        <v>46022.0</v>
      </c>
      <c r="G40" s="54">
        <f t="shared" si="17"/>
        <v>2.747945205</v>
      </c>
      <c r="H40" s="38">
        <f t="shared" si="18"/>
        <v>14</v>
      </c>
      <c r="I40" s="97">
        <v>45971.0</v>
      </c>
      <c r="J40" s="98">
        <v>45971.0</v>
      </c>
      <c r="K40" s="41">
        <f t="shared" si="19"/>
        <v>1</v>
      </c>
      <c r="L40" s="41">
        <f t="shared" si="16"/>
        <v>17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117</v>
      </c>
      <c r="D41" s="35">
        <v>11.0</v>
      </c>
      <c r="E41" s="36">
        <v>44928.0</v>
      </c>
      <c r="F41" s="36">
        <v>46022.0</v>
      </c>
      <c r="G41" s="54">
        <f t="shared" si="17"/>
        <v>2.997260274</v>
      </c>
      <c r="H41" s="38">
        <f t="shared" si="18"/>
        <v>14</v>
      </c>
      <c r="I41" s="39"/>
      <c r="J41" s="91"/>
      <c r="K41" s="41" t="str">
        <f t="shared" si="19"/>
        <v/>
      </c>
      <c r="L41" s="41">
        <f t="shared" si="16"/>
        <v>14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85</v>
      </c>
      <c r="D42" s="35">
        <v>14.0</v>
      </c>
      <c r="E42" s="36">
        <v>40917.0</v>
      </c>
      <c r="F42" s="36">
        <v>46022.0</v>
      </c>
      <c r="G42" s="37">
        <f t="shared" si="17"/>
        <v>13.98630137</v>
      </c>
      <c r="H42" s="38">
        <f t="shared" si="18"/>
        <v>28</v>
      </c>
      <c r="I42" s="39">
        <v>45971.0</v>
      </c>
      <c r="J42" s="91">
        <v>45977.0</v>
      </c>
      <c r="K42" s="41">
        <f t="shared" si="19"/>
        <v>7</v>
      </c>
      <c r="L42" s="41">
        <f t="shared" si="16"/>
        <v>35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165</v>
      </c>
      <c r="D43" s="35"/>
      <c r="E43" s="36">
        <v>45782.0</v>
      </c>
      <c r="F43" s="36">
        <v>46022.0</v>
      </c>
      <c r="G43" s="37">
        <f t="shared" si="17"/>
        <v>0.6575342466</v>
      </c>
      <c r="H43" s="38">
        <f t="shared" si="18"/>
        <v>14</v>
      </c>
      <c r="I43" s="39"/>
      <c r="J43" s="91"/>
      <c r="K43" s="41" t="str">
        <f t="shared" si="19"/>
        <v/>
      </c>
      <c r="L43" s="41">
        <f t="shared" si="16"/>
        <v>14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119</v>
      </c>
      <c r="D44" s="35"/>
      <c r="E44" s="36">
        <v>45048.0</v>
      </c>
      <c r="F44" s="36">
        <v>46022.0</v>
      </c>
      <c r="G44" s="54">
        <f t="shared" si="17"/>
        <v>2.668493151</v>
      </c>
      <c r="H44" s="38">
        <f t="shared" si="18"/>
        <v>14</v>
      </c>
      <c r="I44" s="39">
        <v>46020.0</v>
      </c>
      <c r="J44" s="91">
        <v>46026.0</v>
      </c>
      <c r="K44" s="41">
        <f t="shared" si="19"/>
        <v>7</v>
      </c>
      <c r="L44" s="41">
        <f t="shared" si="16"/>
        <v>7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1"/>
      <c r="B45" s="16"/>
      <c r="C45" s="103" t="s">
        <v>166</v>
      </c>
      <c r="D45" s="45"/>
      <c r="E45" s="46"/>
      <c r="F45" s="46"/>
      <c r="G45" s="47"/>
      <c r="H45" s="48"/>
      <c r="I45" s="53"/>
      <c r="J45" s="53"/>
      <c r="K45" s="49"/>
      <c r="L45" s="49"/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16"/>
      <c r="C46" s="104"/>
      <c r="D46" s="45"/>
      <c r="E46" s="46"/>
      <c r="F46" s="46"/>
      <c r="G46" s="47"/>
      <c r="H46" s="48"/>
      <c r="I46" s="53"/>
      <c r="J46" s="53"/>
      <c r="K46" s="49"/>
      <c r="L46" s="49"/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6"/>
      <c r="C47" s="28" t="s">
        <v>136</v>
      </c>
      <c r="D47" s="45"/>
      <c r="E47" s="46"/>
      <c r="F47" s="46"/>
      <c r="G47" s="47"/>
      <c r="H47" s="48"/>
      <c r="I47" s="53"/>
      <c r="J47" s="53"/>
      <c r="K47" s="49"/>
      <c r="L47" s="49"/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6"/>
      <c r="C48" s="28"/>
      <c r="D48" s="45"/>
      <c r="E48" s="46"/>
      <c r="F48" s="46"/>
      <c r="G48" s="47"/>
      <c r="H48" s="48"/>
      <c r="I48" s="53"/>
      <c r="J48" s="53"/>
      <c r="K48" s="49"/>
      <c r="L48" s="49"/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34" t="s">
        <v>167</v>
      </c>
      <c r="D49" s="35"/>
      <c r="E49" s="36">
        <v>45818.0</v>
      </c>
      <c r="F49" s="36">
        <v>46022.0</v>
      </c>
      <c r="G49" s="54">
        <f t="shared" ref="G49:G51" si="20">+(F49-E49)/365</f>
        <v>0.5589041096</v>
      </c>
      <c r="H49" s="38">
        <f t="shared" ref="H49:H51" si="21">+IF((F49-E49)&lt;(182.5),((F49-E49)/30*24)/20,IF(AND(G49&gt;0.5,G49&lt;=5),14,IF(AND(G49&gt;5,G49&lt;=10),21,IF(AND(G49&gt;10,G49&lt;=20),28,35))))</f>
        <v>14</v>
      </c>
      <c r="I49" s="97">
        <v>46035.0</v>
      </c>
      <c r="J49" s="98">
        <v>46041.0</v>
      </c>
      <c r="K49" s="41">
        <f t="shared" ref="K49:K51" si="22">IF(I49="","",+J49-I49+1)</f>
        <v>7</v>
      </c>
      <c r="L49" s="41">
        <f t="shared" ref="L49:L51" si="23">IF(K49&lt;&gt;"",D49+H49-K49,H49)</f>
        <v>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34" t="s">
        <v>168</v>
      </c>
      <c r="D50" s="35"/>
      <c r="E50" s="36">
        <v>45537.0</v>
      </c>
      <c r="F50" s="36">
        <v>46022.0</v>
      </c>
      <c r="G50" s="54">
        <f t="shared" si="20"/>
        <v>1.328767123</v>
      </c>
      <c r="H50" s="38">
        <f t="shared" si="21"/>
        <v>14</v>
      </c>
      <c r="I50" s="39">
        <v>45691.0</v>
      </c>
      <c r="J50" s="91">
        <v>45704.0</v>
      </c>
      <c r="K50" s="41">
        <f t="shared" si="22"/>
        <v>14</v>
      </c>
      <c r="L50" s="41">
        <f t="shared" si="23"/>
        <v>0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34" t="s">
        <v>115</v>
      </c>
      <c r="D51" s="35"/>
      <c r="E51" s="36">
        <v>45019.0</v>
      </c>
      <c r="F51" s="36">
        <v>46022.0</v>
      </c>
      <c r="G51" s="54">
        <f t="shared" si="20"/>
        <v>2.747945205</v>
      </c>
      <c r="H51" s="38">
        <f t="shared" si="21"/>
        <v>14</v>
      </c>
      <c r="I51" s="39"/>
      <c r="J51" s="91"/>
      <c r="K51" s="41" t="str">
        <f t="shared" si="22"/>
        <v/>
      </c>
      <c r="L51" s="41">
        <f t="shared" si="23"/>
        <v>14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44"/>
      <c r="D52" s="45"/>
      <c r="E52" s="46"/>
      <c r="F52" s="46"/>
      <c r="G52" s="47"/>
      <c r="H52" s="48"/>
      <c r="I52" s="53"/>
      <c r="J52" s="53"/>
      <c r="K52" s="49"/>
      <c r="L52" s="49"/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28" t="s">
        <v>138</v>
      </c>
      <c r="D53" s="45"/>
      <c r="E53" s="46"/>
      <c r="F53" s="46"/>
      <c r="G53" s="47"/>
      <c r="H53" s="48"/>
      <c r="I53" s="53"/>
      <c r="J53" s="53"/>
      <c r="K53" s="49"/>
      <c r="L53" s="49"/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28"/>
      <c r="D54" s="45"/>
      <c r="E54" s="46"/>
      <c r="F54" s="46"/>
      <c r="G54" s="47"/>
      <c r="H54" s="48"/>
      <c r="I54" s="53"/>
      <c r="J54" s="53"/>
      <c r="K54" s="49"/>
      <c r="L54" s="49"/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34" t="s">
        <v>42</v>
      </c>
      <c r="D55" s="35">
        <v>12.0</v>
      </c>
      <c r="E55" s="36">
        <v>42128.0</v>
      </c>
      <c r="F55" s="36">
        <v>46022.0</v>
      </c>
      <c r="G55" s="54">
        <f t="shared" ref="G55:G57" si="24">+(F55-E55)/365</f>
        <v>10.66849315</v>
      </c>
      <c r="H55" s="38">
        <f t="shared" ref="H55:H57" si="25">+IF((F55-E55)&lt;(182.5),((F55-E55)/30*24)/20,IF(AND(G55&gt;0.5,G55&lt;=5),14,IF(AND(G55&gt;5,G55&lt;=10),21,IF(AND(G55&gt;10,G55&lt;=20),28,35))))</f>
        <v>28</v>
      </c>
      <c r="I55" s="100"/>
      <c r="J55" s="91"/>
      <c r="K55" s="41" t="str">
        <f t="shared" ref="K55:K57" si="26">IF(I55="","",+J55-I55+1)</f>
        <v/>
      </c>
      <c r="L55" s="41">
        <f t="shared" ref="L55:L57" si="27">IF(K55&lt;&gt;"",D55+H55-K55,H55)</f>
        <v>28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34" t="s">
        <v>37</v>
      </c>
      <c r="D56" s="35">
        <v>7.0</v>
      </c>
      <c r="E56" s="36">
        <v>42985.0</v>
      </c>
      <c r="F56" s="36">
        <v>46022.0</v>
      </c>
      <c r="G56" s="54">
        <f t="shared" si="24"/>
        <v>8.320547945</v>
      </c>
      <c r="H56" s="38">
        <f t="shared" si="25"/>
        <v>21</v>
      </c>
      <c r="I56" s="100"/>
      <c r="J56" s="91"/>
      <c r="K56" s="41" t="str">
        <f t="shared" si="26"/>
        <v/>
      </c>
      <c r="L56" s="41">
        <f t="shared" si="27"/>
        <v>21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34" t="s">
        <v>65</v>
      </c>
      <c r="D57" s="35"/>
      <c r="E57" s="36">
        <v>43525.0</v>
      </c>
      <c r="F57" s="36">
        <v>46022.0</v>
      </c>
      <c r="G57" s="37">
        <f t="shared" si="24"/>
        <v>6.84109589</v>
      </c>
      <c r="H57" s="38">
        <f t="shared" si="25"/>
        <v>21</v>
      </c>
      <c r="I57" s="39"/>
      <c r="J57" s="91"/>
      <c r="K57" s="41" t="str">
        <f t="shared" si="26"/>
        <v/>
      </c>
      <c r="L57" s="41">
        <f t="shared" si="27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44"/>
      <c r="D58" s="45"/>
      <c r="E58" s="46"/>
      <c r="F58" s="46"/>
      <c r="G58" s="47"/>
      <c r="H58" s="48"/>
      <c r="I58" s="53"/>
      <c r="J58" s="53"/>
      <c r="K58" s="49"/>
      <c r="L58" s="49"/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28" t="s">
        <v>47</v>
      </c>
      <c r="D59" s="51"/>
      <c r="E59" s="46"/>
      <c r="F59" s="46"/>
      <c r="G59" s="47"/>
      <c r="H59" s="48"/>
      <c r="I59" s="32"/>
      <c r="J59" s="32"/>
      <c r="K59" s="32"/>
      <c r="L59" s="32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28"/>
      <c r="D60" s="51"/>
      <c r="E60" s="46"/>
      <c r="F60" s="46"/>
      <c r="G60" s="47"/>
      <c r="H60" s="48"/>
      <c r="I60" s="32"/>
      <c r="J60" s="32"/>
      <c r="K60" s="32"/>
      <c r="L60" s="3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34</v>
      </c>
      <c r="D61" s="35">
        <v>16.0</v>
      </c>
      <c r="E61" s="36">
        <v>42142.0</v>
      </c>
      <c r="F61" s="36">
        <v>46022.0</v>
      </c>
      <c r="G61" s="54">
        <f t="shared" ref="G61:G66" si="28">+(F61-E61)/365</f>
        <v>10.63013699</v>
      </c>
      <c r="H61" s="38">
        <f t="shared" ref="H61:H66" si="29">+IF((F61-E61)&lt;(182.5),((F61-E61)/30*24)/20,IF(AND(G61&gt;0.5,G61&lt;=5),14,IF(AND(G61&gt;5,G61&lt;=10),21,IF(AND(G61&gt;10,G61&lt;=20),28,35))))</f>
        <v>28</v>
      </c>
      <c r="I61" s="39"/>
      <c r="J61" s="91"/>
      <c r="K61" s="41" t="str">
        <f t="shared" ref="K61:K66" si="30">IF(I61="","",+J61-I61+1)</f>
        <v/>
      </c>
      <c r="L61" s="41">
        <f t="shared" ref="L61:L66" si="31">IF(K61&lt;&gt;"",D61+H61-K61,H61)</f>
        <v>28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49</v>
      </c>
      <c r="D62" s="35">
        <v>7.0</v>
      </c>
      <c r="E62" s="36">
        <v>42989.0</v>
      </c>
      <c r="F62" s="36">
        <v>46022.0</v>
      </c>
      <c r="G62" s="37">
        <f t="shared" si="28"/>
        <v>8.309589041</v>
      </c>
      <c r="H62" s="38">
        <f t="shared" si="29"/>
        <v>21</v>
      </c>
      <c r="I62" s="97">
        <v>46020.0</v>
      </c>
      <c r="J62" s="98">
        <v>46026.0</v>
      </c>
      <c r="K62" s="41">
        <f t="shared" si="30"/>
        <v>7</v>
      </c>
      <c r="L62" s="41">
        <f t="shared" si="31"/>
        <v>21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7.25" customHeight="1">
      <c r="A63" s="1"/>
      <c r="B63" s="16"/>
      <c r="C63" s="34" t="s">
        <v>169</v>
      </c>
      <c r="D63" s="35"/>
      <c r="E63" s="36">
        <v>45901.0</v>
      </c>
      <c r="F63" s="36">
        <v>46022.0</v>
      </c>
      <c r="G63" s="37">
        <f t="shared" si="28"/>
        <v>0.3315068493</v>
      </c>
      <c r="H63" s="38">
        <f t="shared" si="29"/>
        <v>4.84</v>
      </c>
      <c r="I63" s="39"/>
      <c r="J63" s="91"/>
      <c r="K63" s="41" t="str">
        <f t="shared" si="30"/>
        <v/>
      </c>
      <c r="L63" s="41">
        <f t="shared" si="31"/>
        <v>4.84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140</v>
      </c>
      <c r="D64" s="35"/>
      <c r="E64" s="36">
        <v>45544.0</v>
      </c>
      <c r="F64" s="36">
        <v>46022.0</v>
      </c>
      <c r="G64" s="37">
        <f t="shared" si="28"/>
        <v>1.309589041</v>
      </c>
      <c r="H64" s="38">
        <f t="shared" si="29"/>
        <v>14</v>
      </c>
      <c r="I64" s="97">
        <v>46038.0</v>
      </c>
      <c r="J64" s="98">
        <v>46047.0</v>
      </c>
      <c r="K64" s="41">
        <f t="shared" si="30"/>
        <v>10</v>
      </c>
      <c r="L64" s="41">
        <f t="shared" si="31"/>
        <v>4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34" t="s">
        <v>141</v>
      </c>
      <c r="D65" s="35"/>
      <c r="E65" s="36">
        <v>45670.0</v>
      </c>
      <c r="F65" s="36">
        <v>46022.0</v>
      </c>
      <c r="G65" s="37">
        <f t="shared" si="28"/>
        <v>0.9643835616</v>
      </c>
      <c r="H65" s="38">
        <f t="shared" si="29"/>
        <v>14</v>
      </c>
      <c r="I65" s="39">
        <v>46048.0</v>
      </c>
      <c r="J65" s="91">
        <v>46054.0</v>
      </c>
      <c r="K65" s="41">
        <f t="shared" si="30"/>
        <v>7</v>
      </c>
      <c r="L65" s="41">
        <f t="shared" si="31"/>
        <v>7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34" t="s">
        <v>122</v>
      </c>
      <c r="D66" s="35"/>
      <c r="E66" s="36">
        <v>45145.0</v>
      </c>
      <c r="F66" s="36">
        <v>46022.0</v>
      </c>
      <c r="G66" s="37">
        <f t="shared" si="28"/>
        <v>2.402739726</v>
      </c>
      <c r="H66" s="38">
        <f t="shared" si="29"/>
        <v>14</v>
      </c>
      <c r="I66" s="39"/>
      <c r="J66" s="91"/>
      <c r="K66" s="41" t="str">
        <f t="shared" si="30"/>
        <v/>
      </c>
      <c r="L66" s="41">
        <f t="shared" si="31"/>
        <v>14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46"/>
      <c r="F67" s="46"/>
      <c r="G67" s="47"/>
      <c r="H67" s="48"/>
      <c r="I67" s="53"/>
      <c r="J67" s="53"/>
      <c r="K67" s="49"/>
      <c r="L67" s="49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28" t="s">
        <v>142</v>
      </c>
      <c r="D68" s="45"/>
      <c r="E68" s="46"/>
      <c r="F68" s="46"/>
      <c r="G68" s="47"/>
      <c r="H68" s="48"/>
      <c r="I68" s="53"/>
      <c r="J68" s="53"/>
      <c r="K68" s="49"/>
      <c r="L68" s="49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170</v>
      </c>
      <c r="D70" s="35">
        <v>8.0</v>
      </c>
      <c r="E70" s="36">
        <v>44459.0</v>
      </c>
      <c r="F70" s="36">
        <v>46022.0</v>
      </c>
      <c r="G70" s="37">
        <f t="shared" ref="G70:G80" si="32">+(F70-E70)/365</f>
        <v>4.282191781</v>
      </c>
      <c r="H70" s="38">
        <f t="shared" ref="H70:H80" si="33">+IF((F70-E70)&lt;(182.5),((F70-E70)/30*24)/20,IF(AND(G70&gt;0.5,G70&lt;=5),14,IF(AND(G70&gt;5,G70&lt;=10),21,IF(AND(G70&gt;10,G70&lt;=20),28,35))))</f>
        <v>14</v>
      </c>
      <c r="I70" s="39"/>
      <c r="J70" s="91"/>
      <c r="K70" s="41" t="str">
        <f t="shared" ref="K70:K80" si="34">IF(I70="","",+J70-I70+1)</f>
        <v/>
      </c>
      <c r="L70" s="41">
        <f t="shared" ref="L70:L80" si="35">IF(K70&lt;&gt;"",D70+H70-K70,H70)</f>
        <v>14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143</v>
      </c>
      <c r="D71" s="35"/>
      <c r="E71" s="36">
        <v>45293.0</v>
      </c>
      <c r="F71" s="36">
        <v>46022.0</v>
      </c>
      <c r="G71" s="37">
        <f t="shared" si="32"/>
        <v>1.997260274</v>
      </c>
      <c r="H71" s="38">
        <f t="shared" si="33"/>
        <v>14</v>
      </c>
      <c r="I71" s="97">
        <v>46041.0</v>
      </c>
      <c r="J71" s="91">
        <v>46054.0</v>
      </c>
      <c r="K71" s="41">
        <f t="shared" si="34"/>
        <v>14</v>
      </c>
      <c r="L71" s="41">
        <f t="shared" si="35"/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145</v>
      </c>
      <c r="D72" s="35"/>
      <c r="E72" s="36">
        <v>45414.0</v>
      </c>
      <c r="F72" s="36">
        <v>46022.0</v>
      </c>
      <c r="G72" s="37">
        <f t="shared" si="32"/>
        <v>1.665753425</v>
      </c>
      <c r="H72" s="38">
        <f t="shared" si="33"/>
        <v>14</v>
      </c>
      <c r="I72" s="39">
        <v>46034.0</v>
      </c>
      <c r="J72" s="98">
        <v>46040.0</v>
      </c>
      <c r="K72" s="41">
        <f t="shared" si="34"/>
        <v>7</v>
      </c>
      <c r="L72" s="41">
        <f t="shared" si="35"/>
        <v>7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146</v>
      </c>
      <c r="D73" s="35"/>
      <c r="E73" s="36">
        <v>45078.0</v>
      </c>
      <c r="F73" s="36">
        <v>46022.0</v>
      </c>
      <c r="G73" s="37">
        <f t="shared" si="32"/>
        <v>2.58630137</v>
      </c>
      <c r="H73" s="38">
        <f t="shared" si="33"/>
        <v>14</v>
      </c>
      <c r="I73" s="97">
        <v>46027.0</v>
      </c>
      <c r="J73" s="98">
        <v>46040.0</v>
      </c>
      <c r="K73" s="41">
        <f t="shared" si="34"/>
        <v>14</v>
      </c>
      <c r="L73" s="41">
        <f t="shared" si="35"/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147</v>
      </c>
      <c r="D74" s="35"/>
      <c r="E74" s="36">
        <v>45414.0</v>
      </c>
      <c r="F74" s="36">
        <v>46022.0</v>
      </c>
      <c r="G74" s="37">
        <f t="shared" si="32"/>
        <v>1.665753425</v>
      </c>
      <c r="H74" s="38">
        <f t="shared" si="33"/>
        <v>14</v>
      </c>
      <c r="I74" s="97">
        <v>46041.0</v>
      </c>
      <c r="J74" s="98">
        <v>46054.0</v>
      </c>
      <c r="K74" s="41">
        <f t="shared" si="34"/>
        <v>14</v>
      </c>
      <c r="L74" s="41">
        <f t="shared" si="35"/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149</v>
      </c>
      <c r="D75" s="35"/>
      <c r="E75" s="36">
        <v>45551.0</v>
      </c>
      <c r="F75" s="36">
        <v>46022.0</v>
      </c>
      <c r="G75" s="37">
        <f t="shared" si="32"/>
        <v>1.290410959</v>
      </c>
      <c r="H75" s="38">
        <f t="shared" si="33"/>
        <v>14</v>
      </c>
      <c r="I75" s="39"/>
      <c r="J75" s="91"/>
      <c r="K75" s="41" t="str">
        <f t="shared" si="34"/>
        <v/>
      </c>
      <c r="L75" s="41">
        <f t="shared" si="35"/>
        <v>14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171</v>
      </c>
      <c r="D76" s="35"/>
      <c r="E76" s="36">
        <v>45873.0</v>
      </c>
      <c r="F76" s="36">
        <v>46022.0</v>
      </c>
      <c r="G76" s="37">
        <f t="shared" si="32"/>
        <v>0.4082191781</v>
      </c>
      <c r="H76" s="38">
        <f t="shared" si="33"/>
        <v>5.96</v>
      </c>
      <c r="I76" s="97">
        <v>46071.0</v>
      </c>
      <c r="J76" s="98">
        <v>46077.0</v>
      </c>
      <c r="K76" s="41">
        <f t="shared" si="34"/>
        <v>7</v>
      </c>
      <c r="L76" s="41">
        <f t="shared" si="35"/>
        <v>-1.04</v>
      </c>
      <c r="M76" s="1" t="s">
        <v>172</v>
      </c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173</v>
      </c>
      <c r="D77" s="35"/>
      <c r="E77" s="36">
        <v>45873.0</v>
      </c>
      <c r="F77" s="36">
        <v>46022.0</v>
      </c>
      <c r="G77" s="37">
        <f t="shared" si="32"/>
        <v>0.4082191781</v>
      </c>
      <c r="H77" s="38">
        <f t="shared" si="33"/>
        <v>5.96</v>
      </c>
      <c r="I77" s="39"/>
      <c r="J77" s="91"/>
      <c r="K77" s="41" t="str">
        <f t="shared" si="34"/>
        <v/>
      </c>
      <c r="L77" s="41">
        <f t="shared" si="35"/>
        <v>5.96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174</v>
      </c>
      <c r="D78" s="35"/>
      <c r="E78" s="36">
        <v>45810.0</v>
      </c>
      <c r="F78" s="36">
        <v>46022.0</v>
      </c>
      <c r="G78" s="37">
        <f t="shared" si="32"/>
        <v>0.5808219178</v>
      </c>
      <c r="H78" s="38">
        <f t="shared" si="33"/>
        <v>14</v>
      </c>
      <c r="I78" s="39"/>
      <c r="J78" s="91"/>
      <c r="K78" s="41" t="str">
        <f t="shared" si="34"/>
        <v/>
      </c>
      <c r="L78" s="41">
        <f t="shared" si="35"/>
        <v>14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105" t="s">
        <v>175</v>
      </c>
      <c r="D79" s="35"/>
      <c r="E79" s="106">
        <v>45964.0</v>
      </c>
      <c r="F79" s="36">
        <v>46022.0</v>
      </c>
      <c r="G79" s="37">
        <f t="shared" si="32"/>
        <v>0.1589041096</v>
      </c>
      <c r="H79" s="38">
        <f t="shared" si="33"/>
        <v>2.32</v>
      </c>
      <c r="I79" s="39"/>
      <c r="J79" s="91"/>
      <c r="K79" s="41" t="str">
        <f t="shared" si="34"/>
        <v/>
      </c>
      <c r="L79" s="41">
        <f t="shared" si="35"/>
        <v>2.32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150</v>
      </c>
      <c r="D80" s="35"/>
      <c r="E80" s="36">
        <v>45474.0</v>
      </c>
      <c r="F80" s="36">
        <v>46022.0</v>
      </c>
      <c r="G80" s="37">
        <f t="shared" si="32"/>
        <v>1.501369863</v>
      </c>
      <c r="H80" s="38">
        <f t="shared" si="33"/>
        <v>14</v>
      </c>
      <c r="I80" s="97">
        <v>46055.0</v>
      </c>
      <c r="J80" s="98">
        <v>46068.0</v>
      </c>
      <c r="K80" s="41">
        <f t="shared" si="34"/>
        <v>14</v>
      </c>
      <c r="L80" s="41">
        <f t="shared" si="35"/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44"/>
      <c r="D81" s="45"/>
      <c r="E81" s="46"/>
      <c r="F81" s="46"/>
      <c r="G81" s="47"/>
      <c r="H81" s="48"/>
      <c r="I81" s="107"/>
      <c r="J81" s="53"/>
      <c r="K81" s="49"/>
      <c r="L81" s="49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 t="s">
        <v>151</v>
      </c>
      <c r="D82" s="51"/>
      <c r="E82" s="29"/>
      <c r="F82" s="29"/>
      <c r="G82" s="30"/>
      <c r="H82" s="52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/>
      <c r="D83" s="51"/>
      <c r="E83" s="29"/>
      <c r="F83" s="29"/>
      <c r="G83" s="30"/>
      <c r="H83" s="52"/>
      <c r="I83" s="32"/>
      <c r="J83" s="32"/>
      <c r="K83" s="32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53</v>
      </c>
      <c r="D84" s="35">
        <v>15.0</v>
      </c>
      <c r="E84" s="36">
        <v>41687.0</v>
      </c>
      <c r="F84" s="36">
        <v>46022.0</v>
      </c>
      <c r="G84" s="37">
        <f t="shared" ref="G84:G85" si="36">+(F84-E84)/365</f>
        <v>11.87671233</v>
      </c>
      <c r="H84" s="38">
        <f t="shared" ref="H84:H85" si="37">+IF((F84-E84)&lt;(182.5),((F84-E84)/30*24)/20,IF(AND(G84&gt;0.5,G84&lt;=5),14,IF(AND(G84&gt;5,G84&lt;=10),21,IF(AND(G84&gt;10,G84&lt;=20),28,35))))</f>
        <v>28</v>
      </c>
      <c r="I84" s="97"/>
      <c r="J84" s="98"/>
      <c r="K84" s="41" t="str">
        <f t="shared" ref="K84:K85" si="38">IF(I84="","",+J84-I84+1)</f>
        <v/>
      </c>
      <c r="L84" s="41">
        <f t="shared" ref="L84:L85" si="39">IF(K84&lt;&gt;"",D84+H84-K84,H84)</f>
        <v>28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54</v>
      </c>
      <c r="D85" s="35"/>
      <c r="E85" s="36">
        <v>44319.0</v>
      </c>
      <c r="F85" s="36">
        <v>46022.0</v>
      </c>
      <c r="G85" s="37">
        <f t="shared" si="36"/>
        <v>4.665753425</v>
      </c>
      <c r="H85" s="38">
        <f t="shared" si="37"/>
        <v>14</v>
      </c>
      <c r="I85" s="39"/>
      <c r="J85" s="91"/>
      <c r="K85" s="41" t="str">
        <f t="shared" si="38"/>
        <v/>
      </c>
      <c r="L85" s="41">
        <f t="shared" si="39"/>
        <v>14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44"/>
      <c r="D86" s="45"/>
      <c r="E86" s="46"/>
      <c r="F86" s="46"/>
      <c r="G86" s="47"/>
      <c r="H86" s="48"/>
      <c r="I86" s="53"/>
      <c r="J86" s="53"/>
      <c r="K86" s="49"/>
      <c r="L86" s="49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28" t="s">
        <v>55</v>
      </c>
      <c r="D87" s="51"/>
      <c r="E87" s="32"/>
      <c r="F87" s="32"/>
      <c r="G87" s="32"/>
      <c r="H87" s="32"/>
      <c r="I87" s="32"/>
      <c r="J87" s="53"/>
      <c r="K87" s="53"/>
      <c r="L87" s="3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28"/>
      <c r="D88" s="51"/>
      <c r="E88" s="32"/>
      <c r="F88" s="32"/>
      <c r="G88" s="32"/>
      <c r="H88" s="32"/>
      <c r="I88" s="32"/>
      <c r="J88" s="53"/>
      <c r="K88" s="53"/>
      <c r="L88" s="3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56</v>
      </c>
      <c r="D89" s="35">
        <v>93.0</v>
      </c>
      <c r="E89" s="36">
        <v>39661.0</v>
      </c>
      <c r="F89" s="36">
        <v>46022.0</v>
      </c>
      <c r="G89" s="37">
        <f t="shared" ref="G89:G104" si="40">+(F89-E89)/365</f>
        <v>17.42739726</v>
      </c>
      <c r="H89" s="38">
        <f t="shared" ref="H89:H96" si="41">+IF((F89-E89)&lt;(182.5),((F89-E89)/30*24)/20,IF(AND(G89&gt;0.5,G89&lt;=5),14,IF(AND(G89&gt;5,G89&lt;=10),21,IF(AND(G89&gt;10,G89&lt;=20),28,35))))</f>
        <v>28</v>
      </c>
      <c r="I89" s="39"/>
      <c r="J89" s="39"/>
      <c r="K89" s="41" t="str">
        <f t="shared" ref="K89:K104" si="42">IF(I89="","",+J89-I89+1)</f>
        <v/>
      </c>
      <c r="L89" s="41">
        <f t="shared" ref="L89:L104" si="43">IF(K89&lt;&gt;"",D89+H89-K89,H89)</f>
        <v>28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59</v>
      </c>
      <c r="D90" s="35"/>
      <c r="E90" s="36">
        <v>42891.0</v>
      </c>
      <c r="F90" s="36">
        <v>46022.0</v>
      </c>
      <c r="G90" s="37">
        <f t="shared" si="40"/>
        <v>8.578082192</v>
      </c>
      <c r="H90" s="38">
        <f t="shared" si="41"/>
        <v>21</v>
      </c>
      <c r="I90" s="39"/>
      <c r="J90" s="39"/>
      <c r="K90" s="41" t="str">
        <f t="shared" si="42"/>
        <v/>
      </c>
      <c r="L90" s="41">
        <f t="shared" si="43"/>
        <v>21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60</v>
      </c>
      <c r="D91" s="35">
        <v>10.0</v>
      </c>
      <c r="E91" s="36">
        <v>43458.0</v>
      </c>
      <c r="F91" s="36">
        <v>46022.0</v>
      </c>
      <c r="G91" s="37">
        <f t="shared" si="40"/>
        <v>7.024657534</v>
      </c>
      <c r="H91" s="38">
        <f t="shared" si="41"/>
        <v>21</v>
      </c>
      <c r="I91" s="97">
        <v>45992.0</v>
      </c>
      <c r="J91" s="98">
        <v>45995.0</v>
      </c>
      <c r="K91" s="41">
        <f t="shared" si="42"/>
        <v>4</v>
      </c>
      <c r="L91" s="41">
        <f t="shared" si="43"/>
        <v>27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61</v>
      </c>
      <c r="D92" s="35"/>
      <c r="E92" s="36">
        <v>43252.0</v>
      </c>
      <c r="F92" s="36">
        <v>46022.0</v>
      </c>
      <c r="G92" s="37">
        <f t="shared" si="40"/>
        <v>7.589041096</v>
      </c>
      <c r="H92" s="38">
        <f t="shared" si="41"/>
        <v>21</v>
      </c>
      <c r="I92" s="39"/>
      <c r="J92" s="91"/>
      <c r="K92" s="41" t="str">
        <f t="shared" si="42"/>
        <v/>
      </c>
      <c r="L92" s="41">
        <f t="shared" si="43"/>
        <v>21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62</v>
      </c>
      <c r="D93" s="35"/>
      <c r="E93" s="36">
        <v>43467.0</v>
      </c>
      <c r="F93" s="36">
        <v>46022.0</v>
      </c>
      <c r="G93" s="37">
        <f t="shared" si="40"/>
        <v>7</v>
      </c>
      <c r="H93" s="38">
        <f t="shared" si="41"/>
        <v>21</v>
      </c>
      <c r="I93" s="39"/>
      <c r="J93" s="91"/>
      <c r="K93" s="41" t="str">
        <f t="shared" si="42"/>
        <v/>
      </c>
      <c r="L93" s="41">
        <f t="shared" si="43"/>
        <v>21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104</v>
      </c>
      <c r="D94" s="35"/>
      <c r="E94" s="36">
        <v>43525.0</v>
      </c>
      <c r="F94" s="36">
        <v>46022.0</v>
      </c>
      <c r="G94" s="37">
        <f t="shared" si="40"/>
        <v>6.84109589</v>
      </c>
      <c r="H94" s="38">
        <f t="shared" si="41"/>
        <v>21</v>
      </c>
      <c r="I94" s="39"/>
      <c r="J94" s="39"/>
      <c r="K94" s="41" t="str">
        <f t="shared" si="42"/>
        <v/>
      </c>
      <c r="L94" s="41">
        <f t="shared" si="43"/>
        <v>21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>
        <v>7.0</v>
      </c>
      <c r="E95" s="36">
        <v>42923.0</v>
      </c>
      <c r="F95" s="36">
        <v>46022.0</v>
      </c>
      <c r="G95" s="37">
        <f t="shared" si="40"/>
        <v>8.490410959</v>
      </c>
      <c r="H95" s="38">
        <f t="shared" si="41"/>
        <v>21</v>
      </c>
      <c r="I95" s="39"/>
      <c r="J95" s="91"/>
      <c r="K95" s="41" t="str">
        <f t="shared" si="42"/>
        <v/>
      </c>
      <c r="L95" s="41">
        <f t="shared" si="43"/>
        <v>21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67</v>
      </c>
      <c r="D96" s="35"/>
      <c r="E96" s="36">
        <v>43924.0</v>
      </c>
      <c r="F96" s="36">
        <v>46022.0</v>
      </c>
      <c r="G96" s="37">
        <f t="shared" si="40"/>
        <v>5.747945205</v>
      </c>
      <c r="H96" s="38">
        <f t="shared" si="41"/>
        <v>21</v>
      </c>
      <c r="I96" s="39"/>
      <c r="J96" s="91"/>
      <c r="K96" s="41" t="str">
        <f t="shared" si="42"/>
        <v/>
      </c>
      <c r="L96" s="41">
        <f t="shared" si="43"/>
        <v>21</v>
      </c>
      <c r="M96" s="59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106</v>
      </c>
      <c r="D97" s="35"/>
      <c r="E97" s="36">
        <v>44731.0</v>
      </c>
      <c r="F97" s="36">
        <v>46022.0</v>
      </c>
      <c r="G97" s="37">
        <f t="shared" si="40"/>
        <v>3.536986301</v>
      </c>
      <c r="H97" s="38">
        <v>14.0</v>
      </c>
      <c r="I97" s="39"/>
      <c r="J97" s="91"/>
      <c r="K97" s="41" t="str">
        <f t="shared" si="42"/>
        <v/>
      </c>
      <c r="L97" s="41">
        <f t="shared" si="43"/>
        <v>14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107</v>
      </c>
      <c r="D98" s="35"/>
      <c r="E98" s="36">
        <v>44757.0</v>
      </c>
      <c r="F98" s="36">
        <v>46022.0</v>
      </c>
      <c r="G98" s="37">
        <f t="shared" si="40"/>
        <v>3.465753425</v>
      </c>
      <c r="H98" s="38">
        <v>14.0</v>
      </c>
      <c r="I98" s="39"/>
      <c r="J98" s="39"/>
      <c r="K98" s="41" t="str">
        <f t="shared" si="42"/>
        <v/>
      </c>
      <c r="L98" s="41">
        <f t="shared" si="43"/>
        <v>14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69</v>
      </c>
      <c r="D99" s="35"/>
      <c r="E99" s="36">
        <v>44531.0</v>
      </c>
      <c r="F99" s="36">
        <v>46022.0</v>
      </c>
      <c r="G99" s="37">
        <f t="shared" si="40"/>
        <v>4.084931507</v>
      </c>
      <c r="H99" s="38">
        <f t="shared" ref="H99:H104" si="44">+IF((F99-E99)&lt;(182.5),((F99-E99)/30*24)/20,IF(AND(G99&gt;0.5,G99&lt;=5),14,IF(AND(G99&gt;5,G99&lt;=10),21,IF(AND(G99&gt;10,G99&lt;=20),28,35))))</f>
        <v>14</v>
      </c>
      <c r="I99" s="39"/>
      <c r="J99" s="39"/>
      <c r="K99" s="41" t="str">
        <f t="shared" si="42"/>
        <v/>
      </c>
      <c r="L99" s="41">
        <f t="shared" si="43"/>
        <v>14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152</v>
      </c>
      <c r="D100" s="35"/>
      <c r="E100" s="36">
        <v>45434.0</v>
      </c>
      <c r="F100" s="36">
        <v>46022.0</v>
      </c>
      <c r="G100" s="37">
        <f t="shared" si="40"/>
        <v>1.610958904</v>
      </c>
      <c r="H100" s="38">
        <f t="shared" si="44"/>
        <v>14</v>
      </c>
      <c r="I100" s="39"/>
      <c r="J100" s="39"/>
      <c r="K100" s="41" t="str">
        <f t="shared" si="42"/>
        <v/>
      </c>
      <c r="L100" s="41">
        <f t="shared" si="43"/>
        <v>14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153</v>
      </c>
      <c r="D101" s="35"/>
      <c r="E101" s="36">
        <v>45272.0</v>
      </c>
      <c r="F101" s="36">
        <v>46022.0</v>
      </c>
      <c r="G101" s="37">
        <f t="shared" si="40"/>
        <v>2.054794521</v>
      </c>
      <c r="H101" s="38">
        <f t="shared" si="44"/>
        <v>14</v>
      </c>
      <c r="I101" s="39"/>
      <c r="J101" s="91"/>
      <c r="K101" s="41" t="str">
        <f t="shared" si="42"/>
        <v/>
      </c>
      <c r="L101" s="41">
        <f t="shared" si="43"/>
        <v>14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176</v>
      </c>
      <c r="D102" s="35"/>
      <c r="E102" s="36">
        <v>44939.0</v>
      </c>
      <c r="F102" s="36">
        <v>46022.0</v>
      </c>
      <c r="G102" s="37">
        <f t="shared" si="40"/>
        <v>2.967123288</v>
      </c>
      <c r="H102" s="38">
        <f t="shared" si="44"/>
        <v>14</v>
      </c>
      <c r="I102" s="39"/>
      <c r="J102" s="91"/>
      <c r="K102" s="41" t="str">
        <f t="shared" si="42"/>
        <v/>
      </c>
      <c r="L102" s="41">
        <f t="shared" si="43"/>
        <v>14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108</v>
      </c>
      <c r="D103" s="35"/>
      <c r="E103" s="36">
        <v>44593.0</v>
      </c>
      <c r="F103" s="36">
        <v>46022.0</v>
      </c>
      <c r="G103" s="37">
        <f t="shared" si="40"/>
        <v>3.915068493</v>
      </c>
      <c r="H103" s="38">
        <f t="shared" si="44"/>
        <v>14</v>
      </c>
      <c r="I103" s="39"/>
      <c r="J103" s="39"/>
      <c r="K103" s="41" t="str">
        <f t="shared" si="42"/>
        <v/>
      </c>
      <c r="L103" s="41">
        <f t="shared" si="43"/>
        <v>14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177</v>
      </c>
      <c r="D104" s="35"/>
      <c r="E104" s="36">
        <v>45761.0</v>
      </c>
      <c r="F104" s="36">
        <v>46022.0</v>
      </c>
      <c r="G104" s="37">
        <f t="shared" si="40"/>
        <v>0.7150684932</v>
      </c>
      <c r="H104" s="38">
        <f t="shared" si="44"/>
        <v>14</v>
      </c>
      <c r="I104" s="39"/>
      <c r="J104" s="39"/>
      <c r="K104" s="41" t="str">
        <f t="shared" si="42"/>
        <v/>
      </c>
      <c r="L104" s="41">
        <f t="shared" si="43"/>
        <v>14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 t="s">
        <v>178</v>
      </c>
      <c r="C105" s="103" t="s">
        <v>179</v>
      </c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10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/>
      <c r="C109" s="34" t="s">
        <v>72</v>
      </c>
      <c r="D109" s="35">
        <v>5.0</v>
      </c>
      <c r="E109" s="36">
        <v>40906.0</v>
      </c>
      <c r="F109" s="36">
        <v>46022.0</v>
      </c>
      <c r="G109" s="54">
        <f t="shared" ref="G109:G120" si="45">+(F109-E109)/365</f>
        <v>14.01643836</v>
      </c>
      <c r="H109" s="64">
        <f t="shared" ref="H109:H120" si="46">+IF((F109-E109)&lt;(182.5),((F109-E109)/30*24)/20,IF(AND(G109&gt;0.5,G109&lt;=5),14,IF(AND(G109&gt;5,G109&lt;=10),21,IF(AND(G109&gt;10,G109&lt;=20),28,35))))</f>
        <v>28</v>
      </c>
      <c r="I109" s="39"/>
      <c r="J109" s="91"/>
      <c r="K109" s="41" t="str">
        <f t="shared" ref="K109:K120" si="47">IF(I109="","",+J109-I109+1)</f>
        <v/>
      </c>
      <c r="L109" s="41">
        <f t="shared" ref="L109:L120" si="48">IF(K109&lt;&gt;"",D109+H109-K109,H109)</f>
        <v>28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73</v>
      </c>
      <c r="D110" s="35"/>
      <c r="E110" s="36">
        <v>40917.0</v>
      </c>
      <c r="F110" s="36">
        <v>46022.0</v>
      </c>
      <c r="G110" s="54">
        <f t="shared" si="45"/>
        <v>13.98630137</v>
      </c>
      <c r="H110" s="64">
        <f t="shared" si="46"/>
        <v>28</v>
      </c>
      <c r="I110" s="39"/>
      <c r="J110" s="91"/>
      <c r="K110" s="41" t="str">
        <f t="shared" si="47"/>
        <v/>
      </c>
      <c r="L110" s="41">
        <f t="shared" si="48"/>
        <v>28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0" customHeight="1">
      <c r="A111" s="62"/>
      <c r="B111" s="65"/>
      <c r="C111" s="34" t="s">
        <v>74</v>
      </c>
      <c r="D111" s="35">
        <v>42.0</v>
      </c>
      <c r="E111" s="36">
        <v>40926.0</v>
      </c>
      <c r="F111" s="36">
        <v>46022.0</v>
      </c>
      <c r="G111" s="54">
        <f t="shared" si="45"/>
        <v>13.96164384</v>
      </c>
      <c r="H111" s="64">
        <f t="shared" si="46"/>
        <v>28</v>
      </c>
      <c r="I111" s="39"/>
      <c r="J111" s="91"/>
      <c r="K111" s="41" t="str">
        <f t="shared" si="47"/>
        <v/>
      </c>
      <c r="L111" s="41">
        <f t="shared" si="48"/>
        <v>28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75</v>
      </c>
      <c r="D112" s="35">
        <v>7.0</v>
      </c>
      <c r="E112" s="36">
        <v>40926.0</v>
      </c>
      <c r="F112" s="36">
        <v>46022.0</v>
      </c>
      <c r="G112" s="54">
        <f t="shared" si="45"/>
        <v>13.96164384</v>
      </c>
      <c r="H112" s="64">
        <f t="shared" si="46"/>
        <v>28</v>
      </c>
      <c r="I112" s="39"/>
      <c r="J112" s="91"/>
      <c r="K112" s="41" t="str">
        <f t="shared" si="47"/>
        <v/>
      </c>
      <c r="L112" s="41">
        <f t="shared" si="48"/>
        <v>28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1"/>
      <c r="B113" s="65"/>
      <c r="C113" s="34" t="s">
        <v>76</v>
      </c>
      <c r="D113" s="35"/>
      <c r="E113" s="36">
        <v>42614.0</v>
      </c>
      <c r="F113" s="36">
        <v>46022.0</v>
      </c>
      <c r="G113" s="54">
        <f t="shared" si="45"/>
        <v>9.336986301</v>
      </c>
      <c r="H113" s="64">
        <f t="shared" si="46"/>
        <v>21</v>
      </c>
      <c r="I113" s="39"/>
      <c r="J113" s="91"/>
      <c r="K113" s="41" t="str">
        <f t="shared" si="47"/>
        <v/>
      </c>
      <c r="L113" s="41">
        <f t="shared" si="48"/>
        <v>21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65"/>
      <c r="C114" s="34" t="s">
        <v>77</v>
      </c>
      <c r="D114" s="35">
        <v>14.0</v>
      </c>
      <c r="E114" s="36">
        <v>41403.0</v>
      </c>
      <c r="F114" s="36">
        <v>46022.0</v>
      </c>
      <c r="G114" s="54">
        <f t="shared" si="45"/>
        <v>12.65479452</v>
      </c>
      <c r="H114" s="64">
        <f t="shared" si="46"/>
        <v>28</v>
      </c>
      <c r="I114" s="39"/>
      <c r="J114" s="91"/>
      <c r="K114" s="41" t="str">
        <f t="shared" si="47"/>
        <v/>
      </c>
      <c r="L114" s="41">
        <f t="shared" si="48"/>
        <v>28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" t="s">
        <v>180</v>
      </c>
      <c r="C115" s="103" t="s">
        <v>78</v>
      </c>
      <c r="D115" s="35"/>
      <c r="E115" s="108">
        <v>43229.0</v>
      </c>
      <c r="F115" s="108">
        <v>46022.0</v>
      </c>
      <c r="G115" s="109">
        <f t="shared" si="45"/>
        <v>7.652054795</v>
      </c>
      <c r="H115" s="64">
        <f t="shared" si="46"/>
        <v>21</v>
      </c>
      <c r="I115" s="110" t="s">
        <v>181</v>
      </c>
      <c r="J115" s="111" t="s">
        <v>181</v>
      </c>
      <c r="K115" s="38" t="str">
        <f t="shared" si="47"/>
        <v>#VALUE!</v>
      </c>
      <c r="L115" s="38" t="str">
        <f t="shared" si="48"/>
        <v>#VALUE!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>
        <v>7.0</v>
      </c>
      <c r="E116" s="36">
        <v>42730.0</v>
      </c>
      <c r="F116" s="36">
        <v>46022.0</v>
      </c>
      <c r="G116" s="54">
        <f t="shared" si="45"/>
        <v>9.019178082</v>
      </c>
      <c r="H116" s="64">
        <f t="shared" si="46"/>
        <v>21</v>
      </c>
      <c r="I116" s="39"/>
      <c r="J116" s="91"/>
      <c r="K116" s="41" t="str">
        <f t="shared" si="47"/>
        <v/>
      </c>
      <c r="L116" s="41">
        <f t="shared" si="48"/>
        <v>21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>
        <v>4.0</v>
      </c>
      <c r="E117" s="36">
        <v>41852.0</v>
      </c>
      <c r="F117" s="36">
        <v>46022.0</v>
      </c>
      <c r="G117" s="54">
        <f t="shared" si="45"/>
        <v>11.42465753</v>
      </c>
      <c r="H117" s="64">
        <f t="shared" si="46"/>
        <v>28</v>
      </c>
      <c r="I117" s="39"/>
      <c r="J117" s="91"/>
      <c r="K117" s="41" t="str">
        <f t="shared" si="47"/>
        <v/>
      </c>
      <c r="L117" s="41">
        <f t="shared" si="48"/>
        <v>28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182</v>
      </c>
      <c r="D118" s="35"/>
      <c r="E118" s="36">
        <v>45154.0</v>
      </c>
      <c r="F118" s="36">
        <v>46022.0</v>
      </c>
      <c r="G118" s="54">
        <f t="shared" si="45"/>
        <v>2.378082192</v>
      </c>
      <c r="H118" s="64">
        <f t="shared" si="46"/>
        <v>14</v>
      </c>
      <c r="I118" s="39"/>
      <c r="J118" s="91"/>
      <c r="K118" s="41" t="str">
        <f t="shared" si="47"/>
        <v/>
      </c>
      <c r="L118" s="41">
        <f t="shared" si="48"/>
        <v>14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14.0</v>
      </c>
      <c r="E119" s="36">
        <v>41330.0</v>
      </c>
      <c r="F119" s="36">
        <v>46022.0</v>
      </c>
      <c r="G119" s="37">
        <f t="shared" si="45"/>
        <v>12.85479452</v>
      </c>
      <c r="H119" s="38">
        <f t="shared" si="46"/>
        <v>28</v>
      </c>
      <c r="I119" s="39">
        <v>45974.0</v>
      </c>
      <c r="J119" s="91">
        <v>45980.0</v>
      </c>
      <c r="K119" s="41">
        <f t="shared" si="47"/>
        <v>7</v>
      </c>
      <c r="L119" s="41">
        <f t="shared" si="48"/>
        <v>35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" t="s">
        <v>178</v>
      </c>
      <c r="C120" s="34" t="s">
        <v>183</v>
      </c>
      <c r="D120" s="35"/>
      <c r="E120" s="36">
        <v>45442.0</v>
      </c>
      <c r="F120" s="36">
        <v>46022.0</v>
      </c>
      <c r="G120" s="54">
        <f t="shared" si="45"/>
        <v>1.589041096</v>
      </c>
      <c r="H120" s="64">
        <f t="shared" si="46"/>
        <v>14</v>
      </c>
      <c r="I120" s="39"/>
      <c r="J120" s="91"/>
      <c r="K120" s="41" t="str">
        <f t="shared" si="47"/>
        <v/>
      </c>
      <c r="L120" s="41">
        <f t="shared" si="48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7.2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3.0</v>
      </c>
      <c r="E124" s="36">
        <v>42037.0</v>
      </c>
      <c r="F124" s="36">
        <v>46022.0</v>
      </c>
      <c r="G124" s="54">
        <f t="shared" ref="G124:G132" si="49">+(F124-E124)/365</f>
        <v>10.91780822</v>
      </c>
      <c r="H124" s="64">
        <f t="shared" ref="H124:H132" si="50">+IF((F124-E124)&lt;(182.5),((F124-E124)/30*24)/20,IF(AND(G124&gt;0.5,G124&lt;=5),14,IF(AND(G124&gt;5,G124&lt;=10),21,IF(AND(G124&gt;10,G124&lt;=20),28,35))))</f>
        <v>28</v>
      </c>
      <c r="I124" s="66">
        <v>45994.0</v>
      </c>
      <c r="J124" s="67">
        <v>46003.0</v>
      </c>
      <c r="K124" s="41">
        <f t="shared" ref="K124:K131" si="51">IF(I124="","",+J124-I124+1)</f>
        <v>10</v>
      </c>
      <c r="L124" s="41">
        <f t="shared" ref="L124:L132" si="52">IF(K124&lt;&gt;"",D124+H124-K124,H124)</f>
        <v>21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4"/>
      <c r="B125" s="1"/>
      <c r="C125" s="34" t="s">
        <v>154</v>
      </c>
      <c r="D125" s="35"/>
      <c r="E125" s="36">
        <v>45384.0</v>
      </c>
      <c r="F125" s="36">
        <v>46022.0</v>
      </c>
      <c r="G125" s="37">
        <f t="shared" si="49"/>
        <v>1.747945205</v>
      </c>
      <c r="H125" s="38">
        <f t="shared" si="50"/>
        <v>14</v>
      </c>
      <c r="I125" s="39"/>
      <c r="J125" s="91"/>
      <c r="K125" s="41" t="str">
        <f t="shared" si="51"/>
        <v/>
      </c>
      <c r="L125" s="41">
        <f t="shared" si="52"/>
        <v>14</v>
      </c>
      <c r="M125" s="4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4"/>
      <c r="B126" s="1"/>
      <c r="C126" s="34" t="s">
        <v>155</v>
      </c>
      <c r="D126" s="35"/>
      <c r="E126" s="36">
        <v>45323.0</v>
      </c>
      <c r="F126" s="36">
        <v>46022.0</v>
      </c>
      <c r="G126" s="37">
        <f t="shared" si="49"/>
        <v>1.915068493</v>
      </c>
      <c r="H126" s="38">
        <f t="shared" si="50"/>
        <v>14</v>
      </c>
      <c r="I126" s="39">
        <v>45958.0</v>
      </c>
      <c r="J126" s="91">
        <v>45964.0</v>
      </c>
      <c r="K126" s="41">
        <f t="shared" si="51"/>
        <v>7</v>
      </c>
      <c r="L126" s="41">
        <f t="shared" si="52"/>
        <v>7</v>
      </c>
      <c r="M126" s="4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4"/>
      <c r="B127" s="1"/>
      <c r="C127" s="34" t="s">
        <v>128</v>
      </c>
      <c r="D127" s="35"/>
      <c r="E127" s="36">
        <v>44935.0</v>
      </c>
      <c r="F127" s="36">
        <v>46022.0</v>
      </c>
      <c r="G127" s="37">
        <f t="shared" si="49"/>
        <v>2.978082192</v>
      </c>
      <c r="H127" s="38">
        <f t="shared" si="50"/>
        <v>14</v>
      </c>
      <c r="I127" s="39"/>
      <c r="J127" s="91"/>
      <c r="K127" s="41" t="str">
        <f t="shared" si="51"/>
        <v/>
      </c>
      <c r="L127" s="41">
        <f t="shared" si="52"/>
        <v>14</v>
      </c>
      <c r="M127" s="4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4"/>
      <c r="B128" s="1"/>
      <c r="C128" s="34" t="s">
        <v>86</v>
      </c>
      <c r="D128" s="35"/>
      <c r="E128" s="36">
        <v>44385.0</v>
      </c>
      <c r="F128" s="36">
        <v>46022.0</v>
      </c>
      <c r="G128" s="37">
        <f t="shared" si="49"/>
        <v>4.484931507</v>
      </c>
      <c r="H128" s="38">
        <f t="shared" si="50"/>
        <v>14</v>
      </c>
      <c r="I128" s="39">
        <v>45908.0</v>
      </c>
      <c r="J128" s="91">
        <v>45914.0</v>
      </c>
      <c r="K128" s="41">
        <f t="shared" si="51"/>
        <v>7</v>
      </c>
      <c r="L128" s="41">
        <f t="shared" si="52"/>
        <v>7</v>
      </c>
      <c r="M128" s="4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129</v>
      </c>
      <c r="D129" s="35">
        <v>7.0</v>
      </c>
      <c r="E129" s="36">
        <v>44935.0</v>
      </c>
      <c r="F129" s="36">
        <v>46022.0</v>
      </c>
      <c r="G129" s="37">
        <f t="shared" si="49"/>
        <v>2.978082192</v>
      </c>
      <c r="H129" s="38">
        <f t="shared" si="50"/>
        <v>14</v>
      </c>
      <c r="I129" s="39"/>
      <c r="J129" s="91"/>
      <c r="K129" s="41" t="str">
        <f t="shared" si="51"/>
        <v/>
      </c>
      <c r="L129" s="41">
        <f t="shared" si="52"/>
        <v>14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156</v>
      </c>
      <c r="D130" s="35"/>
      <c r="E130" s="36">
        <v>45435.0</v>
      </c>
      <c r="F130" s="36">
        <v>46022.0</v>
      </c>
      <c r="G130" s="37">
        <f t="shared" si="49"/>
        <v>1.608219178</v>
      </c>
      <c r="H130" s="38">
        <f t="shared" si="50"/>
        <v>14</v>
      </c>
      <c r="I130" s="97">
        <v>46027.0</v>
      </c>
      <c r="J130" s="98">
        <v>46040.0</v>
      </c>
      <c r="K130" s="41">
        <f t="shared" si="51"/>
        <v>14</v>
      </c>
      <c r="L130" s="41">
        <f t="shared" si="52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34" t="s">
        <v>157</v>
      </c>
      <c r="D131" s="35"/>
      <c r="E131" s="36">
        <v>45810.0</v>
      </c>
      <c r="F131" s="36">
        <v>46022.0</v>
      </c>
      <c r="G131" s="37">
        <f t="shared" si="49"/>
        <v>0.5808219178</v>
      </c>
      <c r="H131" s="38">
        <f t="shared" si="50"/>
        <v>14</v>
      </c>
      <c r="I131" s="39">
        <v>45957.0</v>
      </c>
      <c r="J131" s="91">
        <v>45970.0</v>
      </c>
      <c r="K131" s="41">
        <f t="shared" si="51"/>
        <v>14</v>
      </c>
      <c r="L131" s="41">
        <f t="shared" si="52"/>
        <v>0</v>
      </c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 t="s">
        <v>178</v>
      </c>
      <c r="C132" s="103" t="s">
        <v>158</v>
      </c>
      <c r="D132" s="35"/>
      <c r="E132" s="36">
        <v>45750.0</v>
      </c>
      <c r="F132" s="36">
        <v>46022.0</v>
      </c>
      <c r="G132" s="37">
        <f t="shared" si="49"/>
        <v>0.7452054795</v>
      </c>
      <c r="H132" s="38">
        <f t="shared" si="50"/>
        <v>14</v>
      </c>
      <c r="I132" s="39"/>
      <c r="J132" s="91"/>
      <c r="K132" s="41"/>
      <c r="L132" s="41">
        <f t="shared" si="52"/>
        <v>14</v>
      </c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44"/>
      <c r="D133" s="45"/>
      <c r="E133" s="46"/>
      <c r="F133" s="46"/>
      <c r="G133" s="47"/>
      <c r="H133" s="48"/>
      <c r="I133" s="53"/>
      <c r="J133" s="53"/>
      <c r="K133" s="49"/>
      <c r="L133" s="49"/>
      <c r="M133" s="4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 t="s">
        <v>88</v>
      </c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28"/>
      <c r="D135" s="51"/>
      <c r="E135" s="33"/>
      <c r="F135" s="33"/>
      <c r="G135" s="33"/>
      <c r="H135" s="33"/>
      <c r="I135" s="33"/>
      <c r="J135" s="33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4"/>
      <c r="B136" s="1"/>
      <c r="C136" s="34" t="s">
        <v>89</v>
      </c>
      <c r="D136" s="35">
        <v>23.0</v>
      </c>
      <c r="E136" s="36">
        <v>41453.0</v>
      </c>
      <c r="F136" s="36">
        <v>46022.0</v>
      </c>
      <c r="G136" s="37">
        <f t="shared" ref="G136:G150" si="53">+(F136-E136)/365</f>
        <v>12.51780822</v>
      </c>
      <c r="H136" s="38">
        <f t="shared" ref="H136:H150" si="54">+IF((F136-E136)&lt;(182.5),((F136-E136)/30*24)/20,IF(AND(G136&gt;0.5,G136&lt;=5),14,IF(AND(G136&gt;5,G136&lt;=10),21,IF(AND(G136&gt;10,G136&lt;=20),28,35))))</f>
        <v>28</v>
      </c>
      <c r="I136" s="39"/>
      <c r="J136" s="91"/>
      <c r="K136" s="41" t="str">
        <f t="shared" ref="K136:K266" si="55">IF(I136="","",+J136-I136+1)</f>
        <v/>
      </c>
      <c r="L136" s="41">
        <f t="shared" ref="L136:L150" si="56">IF(K136&lt;&gt;"",D136+H136-K136,H136)</f>
        <v>28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130</v>
      </c>
      <c r="D137" s="35"/>
      <c r="E137" s="36">
        <v>45064.0</v>
      </c>
      <c r="F137" s="36">
        <v>46022.0</v>
      </c>
      <c r="G137" s="42">
        <f t="shared" si="53"/>
        <v>2.624657534</v>
      </c>
      <c r="H137" s="43">
        <f t="shared" si="54"/>
        <v>14</v>
      </c>
      <c r="I137" s="39"/>
      <c r="J137" s="91"/>
      <c r="K137" s="41" t="str">
        <f t="shared" si="55"/>
        <v/>
      </c>
      <c r="L137" s="41">
        <f t="shared" si="56"/>
        <v>14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91</v>
      </c>
      <c r="D138" s="35"/>
      <c r="E138" s="36">
        <v>43892.0</v>
      </c>
      <c r="F138" s="36">
        <v>46022.0</v>
      </c>
      <c r="G138" s="42">
        <f t="shared" si="53"/>
        <v>5.835616438</v>
      </c>
      <c r="H138" s="43">
        <f t="shared" si="54"/>
        <v>21</v>
      </c>
      <c r="I138" s="39"/>
      <c r="J138" s="91"/>
      <c r="K138" s="41" t="str">
        <f t="shared" si="55"/>
        <v/>
      </c>
      <c r="L138" s="41">
        <f t="shared" si="56"/>
        <v>21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92</v>
      </c>
      <c r="D139" s="35"/>
      <c r="E139" s="36">
        <v>43892.0</v>
      </c>
      <c r="F139" s="36">
        <v>46022.0</v>
      </c>
      <c r="G139" s="42">
        <f t="shared" si="53"/>
        <v>5.835616438</v>
      </c>
      <c r="H139" s="43">
        <f t="shared" si="54"/>
        <v>21</v>
      </c>
      <c r="I139" s="39"/>
      <c r="J139" s="91"/>
      <c r="K139" s="41" t="str">
        <f t="shared" si="55"/>
        <v/>
      </c>
      <c r="L139" s="41">
        <f t="shared" si="56"/>
        <v>21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118</v>
      </c>
      <c r="D140" s="35"/>
      <c r="E140" s="36">
        <v>45170.0</v>
      </c>
      <c r="F140" s="36">
        <v>46022.0</v>
      </c>
      <c r="G140" s="54">
        <f t="shared" si="53"/>
        <v>2.334246575</v>
      </c>
      <c r="H140" s="38">
        <f t="shared" si="54"/>
        <v>14</v>
      </c>
      <c r="I140" s="39"/>
      <c r="J140" s="91"/>
      <c r="K140" s="41" t="str">
        <f t="shared" si="55"/>
        <v/>
      </c>
      <c r="L140" s="41">
        <f t="shared" si="56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94</v>
      </c>
      <c r="D141" s="35"/>
      <c r="E141" s="36">
        <v>43833.0</v>
      </c>
      <c r="F141" s="36">
        <v>46022.0</v>
      </c>
      <c r="G141" s="42">
        <f t="shared" si="53"/>
        <v>5.997260274</v>
      </c>
      <c r="H141" s="43">
        <f t="shared" si="54"/>
        <v>21</v>
      </c>
      <c r="I141" s="39">
        <v>45950.0</v>
      </c>
      <c r="J141" s="91">
        <v>45956.0</v>
      </c>
      <c r="K141" s="41">
        <f t="shared" si="55"/>
        <v>7</v>
      </c>
      <c r="L141" s="41">
        <f t="shared" si="56"/>
        <v>14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95</v>
      </c>
      <c r="D142" s="35"/>
      <c r="E142" s="36">
        <v>43833.0</v>
      </c>
      <c r="F142" s="36">
        <v>46022.0</v>
      </c>
      <c r="G142" s="42">
        <f t="shared" si="53"/>
        <v>5.997260274</v>
      </c>
      <c r="H142" s="43">
        <f t="shared" si="54"/>
        <v>21</v>
      </c>
      <c r="I142" s="97">
        <v>46055.0</v>
      </c>
      <c r="J142" s="98">
        <v>46061.0</v>
      </c>
      <c r="K142" s="41">
        <f t="shared" si="55"/>
        <v>7</v>
      </c>
      <c r="L142" s="41">
        <f t="shared" si="56"/>
        <v>14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97</v>
      </c>
      <c r="D143" s="35"/>
      <c r="E143" s="36">
        <v>43833.0</v>
      </c>
      <c r="F143" s="36">
        <v>46022.0</v>
      </c>
      <c r="G143" s="42">
        <f t="shared" si="53"/>
        <v>5.997260274</v>
      </c>
      <c r="H143" s="43">
        <f t="shared" si="54"/>
        <v>21</v>
      </c>
      <c r="I143" s="97">
        <v>46041.0</v>
      </c>
      <c r="J143" s="98">
        <v>46061.0</v>
      </c>
      <c r="K143" s="41">
        <f t="shared" si="55"/>
        <v>21</v>
      </c>
      <c r="L143" s="41">
        <f t="shared" si="56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160</v>
      </c>
      <c r="D144" s="35"/>
      <c r="E144" s="36">
        <v>45432.0</v>
      </c>
      <c r="F144" s="36">
        <v>46022.0</v>
      </c>
      <c r="G144" s="42">
        <f t="shared" si="53"/>
        <v>1.616438356</v>
      </c>
      <c r="H144" s="43">
        <f t="shared" si="54"/>
        <v>14</v>
      </c>
      <c r="I144" s="39"/>
      <c r="J144" s="91"/>
      <c r="K144" s="41" t="str">
        <f t="shared" si="55"/>
        <v/>
      </c>
      <c r="L144" s="41">
        <f t="shared" si="56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161</v>
      </c>
      <c r="D145" s="35"/>
      <c r="E145" s="36">
        <v>45691.0</v>
      </c>
      <c r="F145" s="36">
        <v>46022.0</v>
      </c>
      <c r="G145" s="42">
        <f t="shared" si="53"/>
        <v>0.9068493151</v>
      </c>
      <c r="H145" s="43">
        <f t="shared" si="54"/>
        <v>14</v>
      </c>
      <c r="I145" s="39"/>
      <c r="J145" s="91"/>
      <c r="K145" s="41" t="str">
        <f t="shared" si="55"/>
        <v/>
      </c>
      <c r="L145" s="41">
        <f t="shared" si="56"/>
        <v>14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184</v>
      </c>
      <c r="D146" s="35"/>
      <c r="E146" s="36">
        <v>45490.0</v>
      </c>
      <c r="F146" s="36">
        <v>46022.0</v>
      </c>
      <c r="G146" s="42">
        <f t="shared" si="53"/>
        <v>1.457534247</v>
      </c>
      <c r="H146" s="43">
        <f t="shared" si="54"/>
        <v>14</v>
      </c>
      <c r="I146" s="39"/>
      <c r="J146" s="91"/>
      <c r="K146" s="41" t="str">
        <f t="shared" si="55"/>
        <v/>
      </c>
      <c r="L146" s="41">
        <f t="shared" si="56"/>
        <v>14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185</v>
      </c>
      <c r="D147" s="35"/>
      <c r="E147" s="36">
        <v>45922.0</v>
      </c>
      <c r="F147" s="36">
        <v>46022.0</v>
      </c>
      <c r="G147" s="42">
        <f t="shared" si="53"/>
        <v>0.2739726027</v>
      </c>
      <c r="H147" s="43">
        <f t="shared" si="54"/>
        <v>4</v>
      </c>
      <c r="I147" s="39"/>
      <c r="J147" s="91"/>
      <c r="K147" s="41" t="str">
        <f t="shared" si="55"/>
        <v/>
      </c>
      <c r="L147" s="41">
        <f t="shared" si="56"/>
        <v>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 t="s">
        <v>178</v>
      </c>
      <c r="C148" s="103" t="s">
        <v>186</v>
      </c>
      <c r="D148" s="35"/>
      <c r="E148" s="36">
        <v>45471.0</v>
      </c>
      <c r="F148" s="36">
        <v>46022.0</v>
      </c>
      <c r="G148" s="42">
        <f t="shared" si="53"/>
        <v>1.509589041</v>
      </c>
      <c r="H148" s="43">
        <f t="shared" si="54"/>
        <v>14</v>
      </c>
      <c r="I148" s="39"/>
      <c r="J148" s="91"/>
      <c r="K148" s="41" t="str">
        <f t="shared" si="55"/>
        <v/>
      </c>
      <c r="L148" s="41">
        <f t="shared" si="56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 t="s">
        <v>178</v>
      </c>
      <c r="C149" s="103" t="s">
        <v>187</v>
      </c>
      <c r="D149" s="35"/>
      <c r="E149" s="36">
        <v>45755.0</v>
      </c>
      <c r="F149" s="36">
        <v>46022.0</v>
      </c>
      <c r="G149" s="42">
        <f t="shared" si="53"/>
        <v>0.7315068493</v>
      </c>
      <c r="H149" s="43">
        <f t="shared" si="54"/>
        <v>14</v>
      </c>
      <c r="I149" s="39"/>
      <c r="J149" s="91"/>
      <c r="K149" s="41" t="str">
        <f t="shared" si="55"/>
        <v/>
      </c>
      <c r="L149" s="41">
        <f t="shared" si="56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 t="s">
        <v>178</v>
      </c>
      <c r="C150" s="103" t="s">
        <v>188</v>
      </c>
      <c r="D150" s="35"/>
      <c r="E150" s="36">
        <v>45796.0</v>
      </c>
      <c r="F150" s="36">
        <v>46022.0</v>
      </c>
      <c r="G150" s="42">
        <f t="shared" si="53"/>
        <v>0.6191780822</v>
      </c>
      <c r="H150" s="43">
        <f t="shared" si="54"/>
        <v>14</v>
      </c>
      <c r="I150" s="39"/>
      <c r="J150" s="91"/>
      <c r="K150" s="41" t="str">
        <f t="shared" si="55"/>
        <v/>
      </c>
      <c r="L150" s="41">
        <f t="shared" si="56"/>
        <v>14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2"/>
      <c r="F151" s="2"/>
      <c r="G151" s="3"/>
      <c r="H151" s="68"/>
      <c r="I151" s="69"/>
      <c r="J151" s="69"/>
      <c r="K151" s="70" t="str">
        <f t="shared" si="55"/>
        <v/>
      </c>
      <c r="L151" s="4"/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1"/>
      <c r="D152" s="1"/>
      <c r="E152" s="2"/>
      <c r="F152" s="2"/>
      <c r="G152" s="3"/>
      <c r="H152" s="68"/>
      <c r="I152" s="69"/>
      <c r="J152" s="69"/>
      <c r="K152" s="70" t="str">
        <f t="shared" si="55"/>
        <v/>
      </c>
      <c r="L152" s="4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1"/>
      <c r="D153" s="1"/>
      <c r="E153" s="2"/>
      <c r="F153" s="2"/>
      <c r="G153" s="3"/>
      <c r="H153" s="68"/>
      <c r="I153" s="69"/>
      <c r="J153" s="69"/>
      <c r="K153" s="70" t="str">
        <f t="shared" si="55"/>
        <v/>
      </c>
      <c r="L153" s="4"/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si="55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55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55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55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55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55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55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55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55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55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4"/>
      <c r="I164" s="69"/>
      <c r="J164" s="69"/>
      <c r="K164" s="70" t="str">
        <f t="shared" si="55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4"/>
      <c r="I165" s="69"/>
      <c r="J165" s="69"/>
      <c r="K165" s="70" t="str">
        <f t="shared" si="55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4"/>
      <c r="I166" s="69"/>
      <c r="J166" s="69"/>
      <c r="K166" s="70" t="str">
        <f t="shared" si="55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4"/>
      <c r="I167" s="69"/>
      <c r="J167" s="69"/>
      <c r="K167" s="70" t="str">
        <f t="shared" si="55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4"/>
      <c r="I168" s="69"/>
      <c r="J168" s="69"/>
      <c r="K168" s="70" t="str">
        <f t="shared" si="55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4"/>
      <c r="I169" s="69"/>
      <c r="J169" s="69"/>
      <c r="K169" s="70" t="str">
        <f t="shared" si="55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55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55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71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2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3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3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3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3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3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3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4"/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4"/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4"/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$C$4:$L$266"/>
  <mergeCells count="2">
    <mergeCell ref="C3:H3"/>
    <mergeCell ref="B109:B114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2" t="s">
        <v>189</v>
      </c>
      <c r="B1" s="113" t="s">
        <v>190</v>
      </c>
      <c r="C1" s="114" t="s">
        <v>191</v>
      </c>
    </row>
    <row r="2" ht="14.25" customHeight="1">
      <c r="A2" s="115">
        <v>1.0</v>
      </c>
      <c r="B2" s="116" t="s">
        <v>192</v>
      </c>
      <c r="C2" s="117">
        <v>35.0</v>
      </c>
    </row>
    <row r="3" ht="14.25" customHeight="1">
      <c r="A3" s="115">
        <v>2.0</v>
      </c>
      <c r="B3" s="116" t="s">
        <v>193</v>
      </c>
      <c r="C3" s="117">
        <v>35.0</v>
      </c>
    </row>
    <row r="4" ht="14.25" customHeight="1">
      <c r="A4" s="115">
        <v>4.0</v>
      </c>
      <c r="B4" s="116" t="s">
        <v>194</v>
      </c>
      <c r="C4" s="117">
        <v>35.0</v>
      </c>
    </row>
    <row r="5" ht="14.25" customHeight="1">
      <c r="A5" s="115">
        <v>9.0</v>
      </c>
      <c r="B5" s="116" t="s">
        <v>195</v>
      </c>
      <c r="C5" s="117">
        <v>63.0</v>
      </c>
    </row>
    <row r="6" ht="14.25" customHeight="1">
      <c r="A6" s="115">
        <v>10.0</v>
      </c>
      <c r="B6" s="116" t="s">
        <v>196</v>
      </c>
      <c r="C6" s="117">
        <v>121.0</v>
      </c>
    </row>
    <row r="7" ht="14.25" customHeight="1">
      <c r="A7" s="115">
        <v>11.0</v>
      </c>
      <c r="B7" s="116" t="s">
        <v>197</v>
      </c>
      <c r="C7" s="117">
        <v>28.0</v>
      </c>
    </row>
    <row r="8" ht="14.25" customHeight="1">
      <c r="A8" s="115">
        <v>12.0</v>
      </c>
      <c r="B8" s="116" t="s">
        <v>198</v>
      </c>
      <c r="C8" s="117">
        <v>69.0</v>
      </c>
    </row>
    <row r="9" ht="14.25" customHeight="1">
      <c r="A9" s="115">
        <v>14.0</v>
      </c>
      <c r="B9" s="116" t="s">
        <v>199</v>
      </c>
      <c r="C9" s="117">
        <v>75.0</v>
      </c>
    </row>
    <row r="10" ht="14.25" customHeight="1">
      <c r="A10" s="115">
        <v>15.0</v>
      </c>
      <c r="B10" s="116" t="s">
        <v>200</v>
      </c>
      <c r="C10" s="117">
        <v>7.0</v>
      </c>
    </row>
    <row r="11" ht="14.25" customHeight="1">
      <c r="A11" s="115">
        <v>16.0</v>
      </c>
      <c r="B11" s="116" t="s">
        <v>201</v>
      </c>
      <c r="C11" s="117">
        <v>28.0</v>
      </c>
    </row>
    <row r="12" ht="14.25" customHeight="1">
      <c r="A12" s="115">
        <v>20.0</v>
      </c>
      <c r="B12" s="116" t="s">
        <v>72</v>
      </c>
      <c r="C12" s="117">
        <v>33.0</v>
      </c>
    </row>
    <row r="13" ht="14.25" customHeight="1">
      <c r="A13" s="115">
        <v>24.0</v>
      </c>
      <c r="B13" s="116" t="s">
        <v>202</v>
      </c>
      <c r="C13" s="117">
        <v>35.0</v>
      </c>
    </row>
    <row r="14" ht="14.25" customHeight="1">
      <c r="A14" s="115">
        <v>25.0</v>
      </c>
      <c r="B14" s="116" t="s">
        <v>73</v>
      </c>
      <c r="C14" s="117">
        <v>28.0</v>
      </c>
    </row>
    <row r="15" ht="14.25" customHeight="1">
      <c r="A15" s="115">
        <v>22.0</v>
      </c>
      <c r="B15" s="116" t="s">
        <v>75</v>
      </c>
      <c r="C15" s="117">
        <v>35.0</v>
      </c>
    </row>
    <row r="16" ht="14.25" customHeight="1">
      <c r="A16" s="115">
        <v>23.0</v>
      </c>
      <c r="B16" s="116" t="s">
        <v>74</v>
      </c>
      <c r="C16" s="117">
        <v>70.0</v>
      </c>
    </row>
    <row r="17" ht="14.25" customHeight="1">
      <c r="A17" s="115">
        <v>35.0</v>
      </c>
      <c r="B17" s="116" t="s">
        <v>203</v>
      </c>
      <c r="C17" s="117">
        <v>75.0</v>
      </c>
    </row>
    <row r="18" ht="14.25" customHeight="1">
      <c r="A18" s="115">
        <v>39.0</v>
      </c>
      <c r="B18" s="116" t="s">
        <v>82</v>
      </c>
      <c r="C18" s="117">
        <v>35.0</v>
      </c>
    </row>
    <row r="19" ht="14.25" customHeight="1">
      <c r="A19" s="115">
        <v>43.0</v>
      </c>
      <c r="B19" s="116" t="s">
        <v>204</v>
      </c>
      <c r="C19" s="118">
        <v>53.0</v>
      </c>
    </row>
    <row r="20" ht="14.25" customHeight="1">
      <c r="A20" s="115">
        <v>29.0</v>
      </c>
      <c r="B20" s="116" t="s">
        <v>205</v>
      </c>
      <c r="C20" s="117">
        <v>42.0</v>
      </c>
    </row>
    <row r="21" ht="14.25" customHeight="1">
      <c r="A21" s="115">
        <v>46.0</v>
      </c>
      <c r="B21" s="116" t="s">
        <v>206</v>
      </c>
      <c r="C21" s="117">
        <v>51.0</v>
      </c>
    </row>
    <row r="22" ht="14.25" customHeight="1">
      <c r="A22" s="115">
        <v>56.0</v>
      </c>
      <c r="B22" s="116" t="s">
        <v>207</v>
      </c>
      <c r="C22" s="117">
        <v>28.0</v>
      </c>
    </row>
    <row r="23" ht="14.25" customHeight="1">
      <c r="A23" s="115">
        <v>60.0</v>
      </c>
      <c r="B23" s="116" t="s">
        <v>208</v>
      </c>
      <c r="C23" s="117">
        <v>43.0</v>
      </c>
    </row>
    <row r="24" ht="14.25" customHeight="1">
      <c r="A24" s="115">
        <v>66.0</v>
      </c>
      <c r="B24" s="116" t="s">
        <v>209</v>
      </c>
      <c r="C24" s="117">
        <v>32.0</v>
      </c>
    </row>
    <row r="25" ht="14.25" customHeight="1">
      <c r="A25" s="115">
        <v>71.0</v>
      </c>
      <c r="B25" s="116" t="s">
        <v>210</v>
      </c>
      <c r="C25" s="117">
        <v>21.0</v>
      </c>
    </row>
    <row r="26" ht="14.25" customHeight="1">
      <c r="A26" s="115">
        <v>74.0</v>
      </c>
      <c r="B26" s="116" t="s">
        <v>34</v>
      </c>
      <c r="C26" s="117">
        <v>44.0</v>
      </c>
    </row>
    <row r="27" ht="14.25" customHeight="1">
      <c r="A27" s="115">
        <v>76.0</v>
      </c>
      <c r="B27" s="116" t="s">
        <v>31</v>
      </c>
      <c r="C27" s="117">
        <v>51.0</v>
      </c>
    </row>
    <row r="28" ht="14.25" customHeight="1">
      <c r="A28" s="115">
        <v>81.0</v>
      </c>
      <c r="B28" s="116" t="s">
        <v>211</v>
      </c>
      <c r="C28" s="117">
        <v>21.0</v>
      </c>
    </row>
    <row r="29" ht="14.25" customHeight="1">
      <c r="A29" s="115">
        <v>64.0</v>
      </c>
      <c r="B29" s="116" t="s">
        <v>212</v>
      </c>
      <c r="C29" s="117">
        <v>21.0</v>
      </c>
    </row>
    <row r="30" ht="14.25" customHeight="1">
      <c r="A30" s="115">
        <v>87.0</v>
      </c>
      <c r="B30" s="116" t="s">
        <v>213</v>
      </c>
      <c r="C30" s="117">
        <v>49.0</v>
      </c>
    </row>
    <row r="31" ht="14.25" customHeight="1">
      <c r="A31" s="115">
        <v>92.0</v>
      </c>
      <c r="B31" s="116" t="s">
        <v>214</v>
      </c>
      <c r="C31" s="117">
        <v>31.0</v>
      </c>
    </row>
    <row r="32" ht="14.25" customHeight="1">
      <c r="A32" s="115">
        <v>93.0</v>
      </c>
      <c r="B32" s="116" t="s">
        <v>215</v>
      </c>
      <c r="C32" s="117">
        <v>28.0</v>
      </c>
    </row>
    <row r="33" ht="14.25" customHeight="1">
      <c r="A33" s="115">
        <v>99.0</v>
      </c>
      <c r="B33" s="116" t="s">
        <v>216</v>
      </c>
      <c r="C33" s="117">
        <v>21.0</v>
      </c>
    </row>
    <row r="34" ht="14.25" customHeight="1">
      <c r="A34" s="115">
        <v>96.0</v>
      </c>
      <c r="B34" s="116" t="s">
        <v>217</v>
      </c>
      <c r="C34" s="117">
        <v>28.0</v>
      </c>
    </row>
    <row r="35" ht="14.25" customHeight="1">
      <c r="A35" s="115">
        <v>106.0</v>
      </c>
      <c r="B35" s="116" t="s">
        <v>218</v>
      </c>
      <c r="C35" s="117">
        <v>28.0</v>
      </c>
    </row>
    <row r="36" ht="14.25" customHeight="1">
      <c r="A36" s="115">
        <v>104.0</v>
      </c>
      <c r="B36" s="116" t="s">
        <v>49</v>
      </c>
      <c r="C36" s="118">
        <v>21.0</v>
      </c>
    </row>
    <row r="37" ht="14.25" customHeight="1">
      <c r="A37" s="115">
        <v>109.0</v>
      </c>
      <c r="B37" s="116" t="s">
        <v>219</v>
      </c>
      <c r="C37" s="117">
        <v>21.0</v>
      </c>
    </row>
    <row r="38" ht="14.25" customHeight="1">
      <c r="A38" s="115">
        <v>113.0</v>
      </c>
      <c r="B38" s="116" t="s">
        <v>220</v>
      </c>
      <c r="C38" s="117">
        <v>21.0</v>
      </c>
    </row>
    <row r="39" ht="14.25" customHeight="1">
      <c r="A39" s="115">
        <v>121.0</v>
      </c>
      <c r="B39" s="116" t="s">
        <v>221</v>
      </c>
      <c r="C39" s="117">
        <v>26.0</v>
      </c>
    </row>
    <row r="40" ht="14.25" customHeight="1">
      <c r="A40" s="115">
        <v>122.0</v>
      </c>
      <c r="B40" s="116" t="s">
        <v>222</v>
      </c>
      <c r="C40" s="117">
        <v>48.0</v>
      </c>
    </row>
    <row r="41" ht="14.25" customHeight="1">
      <c r="A41" s="115">
        <v>117.0</v>
      </c>
      <c r="B41" s="116" t="s">
        <v>223</v>
      </c>
      <c r="C41" s="117">
        <v>21.0</v>
      </c>
    </row>
    <row r="42" ht="14.25" customHeight="1">
      <c r="A42" s="115">
        <v>124.0</v>
      </c>
      <c r="B42" s="116" t="s">
        <v>224</v>
      </c>
      <c r="C42" s="118">
        <v>27.0</v>
      </c>
    </row>
    <row r="43" ht="14.25" customHeight="1">
      <c r="A43" s="115">
        <v>120.0</v>
      </c>
      <c r="B43" s="116" t="s">
        <v>225</v>
      </c>
      <c r="C43" s="117">
        <v>21.0</v>
      </c>
    </row>
    <row r="44" ht="14.25" customHeight="1">
      <c r="A44" s="115">
        <v>125.0</v>
      </c>
      <c r="B44" s="116" t="s">
        <v>226</v>
      </c>
      <c r="C44" s="117">
        <v>21.0</v>
      </c>
    </row>
    <row r="45" ht="14.25" customHeight="1">
      <c r="A45" s="115">
        <v>129.0</v>
      </c>
      <c r="B45" s="116" t="s">
        <v>104</v>
      </c>
      <c r="C45" s="117">
        <v>21.0</v>
      </c>
    </row>
    <row r="46" ht="14.25" customHeight="1">
      <c r="A46" s="115">
        <v>135.0</v>
      </c>
      <c r="B46" s="116" t="s">
        <v>227</v>
      </c>
      <c r="C46" s="117">
        <v>21.0</v>
      </c>
    </row>
    <row r="47" ht="14.25" customHeight="1">
      <c r="A47" s="115">
        <v>136.0</v>
      </c>
      <c r="B47" s="116" t="s">
        <v>228</v>
      </c>
      <c r="C47" s="118">
        <v>0.0</v>
      </c>
    </row>
    <row r="48" ht="14.25" customHeight="1">
      <c r="A48" s="115">
        <v>137.0</v>
      </c>
      <c r="B48" s="116" t="s">
        <v>229</v>
      </c>
      <c r="C48" s="117">
        <v>14.0</v>
      </c>
    </row>
    <row r="49" ht="14.25" customHeight="1">
      <c r="A49" s="115">
        <v>141.0</v>
      </c>
      <c r="B49" s="116" t="s">
        <v>230</v>
      </c>
      <c r="C49" s="117">
        <v>21.0</v>
      </c>
    </row>
    <row r="50" ht="14.25" customHeight="1">
      <c r="A50" s="115">
        <v>139.0</v>
      </c>
      <c r="B50" s="116" t="s">
        <v>91</v>
      </c>
      <c r="C50" s="117">
        <v>21.0</v>
      </c>
    </row>
    <row r="51" ht="14.25" customHeight="1">
      <c r="A51" s="115">
        <v>145.0</v>
      </c>
      <c r="B51" s="116" t="s">
        <v>67</v>
      </c>
      <c r="C51" s="117">
        <v>21.0</v>
      </c>
    </row>
    <row r="52" ht="14.25" customHeight="1">
      <c r="A52" s="115">
        <v>147.0</v>
      </c>
      <c r="B52" s="116" t="s">
        <v>42</v>
      </c>
      <c r="C52" s="117">
        <v>40.0</v>
      </c>
    </row>
    <row r="53" ht="14.25" customHeight="1">
      <c r="A53" s="115">
        <v>160.0</v>
      </c>
      <c r="B53" s="116" t="s">
        <v>231</v>
      </c>
      <c r="C53" s="117">
        <v>14.0</v>
      </c>
    </row>
    <row r="54" ht="14.25" customHeight="1">
      <c r="A54" s="115">
        <v>163.0</v>
      </c>
      <c r="B54" s="116" t="s">
        <v>232</v>
      </c>
      <c r="C54" s="117">
        <v>7.0</v>
      </c>
    </row>
    <row r="55" ht="14.25" customHeight="1">
      <c r="A55" s="115">
        <v>166.0</v>
      </c>
      <c r="B55" s="116" t="s">
        <v>233</v>
      </c>
      <c r="C55" s="32">
        <v>22.0</v>
      </c>
    </row>
    <row r="56" ht="14.25" customHeight="1">
      <c r="A56" s="115">
        <v>169.0</v>
      </c>
      <c r="B56" s="116" t="s">
        <v>234</v>
      </c>
      <c r="C56" s="117">
        <v>14.0</v>
      </c>
    </row>
    <row r="57" ht="14.25" customHeight="1">
      <c r="A57" s="115">
        <v>176.0</v>
      </c>
      <c r="B57" s="116" t="s">
        <v>235</v>
      </c>
      <c r="C57" s="117">
        <v>14.0</v>
      </c>
    </row>
    <row r="58" ht="14.25" customHeight="1">
      <c r="A58" s="115">
        <v>179.0</v>
      </c>
      <c r="B58" s="116" t="s">
        <v>236</v>
      </c>
      <c r="C58" s="117">
        <v>14.0</v>
      </c>
    </row>
    <row r="59" ht="14.25" customHeight="1">
      <c r="A59" s="115">
        <v>194.0</v>
      </c>
      <c r="B59" s="116" t="s">
        <v>237</v>
      </c>
      <c r="C59" s="117">
        <v>14.0</v>
      </c>
    </row>
    <row r="60" ht="14.25" customHeight="1">
      <c r="A60" s="115">
        <v>196.0</v>
      </c>
      <c r="B60" s="116" t="s">
        <v>238</v>
      </c>
      <c r="C60" s="117">
        <v>21.0</v>
      </c>
    </row>
    <row r="61" ht="14.25" customHeight="1">
      <c r="A61" s="115">
        <v>204.0</v>
      </c>
      <c r="B61" s="116" t="s">
        <v>239</v>
      </c>
      <c r="C61" s="117">
        <v>25.0</v>
      </c>
    </row>
    <row r="62" ht="14.25" customHeight="1">
      <c r="A62" s="115">
        <v>205.0</v>
      </c>
      <c r="B62" s="116" t="s">
        <v>240</v>
      </c>
      <c r="C62" s="117">
        <v>14.0</v>
      </c>
    </row>
    <row r="63" ht="14.25" customHeight="1">
      <c r="A63" s="115">
        <v>206.0</v>
      </c>
      <c r="B63" s="116" t="s">
        <v>241</v>
      </c>
      <c r="C63" s="117">
        <v>14.0</v>
      </c>
    </row>
    <row r="64" ht="14.25" customHeight="1">
      <c r="A64" s="115">
        <v>211.0</v>
      </c>
      <c r="B64" s="116" t="s">
        <v>242</v>
      </c>
      <c r="C64" s="118">
        <v>17.0</v>
      </c>
    </row>
    <row r="65" ht="14.25" customHeight="1">
      <c r="A65" s="115">
        <v>213.0</v>
      </c>
      <c r="B65" s="116" t="s">
        <v>243</v>
      </c>
      <c r="C65" s="118">
        <v>7.0</v>
      </c>
    </row>
    <row r="66" ht="14.25" customHeight="1">
      <c r="A66" s="115">
        <v>217.0</v>
      </c>
      <c r="B66" s="116" t="s">
        <v>119</v>
      </c>
      <c r="C66" s="117">
        <v>7.0</v>
      </c>
    </row>
    <row r="67" ht="14.25" customHeight="1">
      <c r="A67" s="115">
        <v>219.0</v>
      </c>
      <c r="B67" s="116" t="s">
        <v>244</v>
      </c>
      <c r="C67" s="118">
        <v>0.0</v>
      </c>
    </row>
    <row r="68" ht="14.25" customHeight="1">
      <c r="A68" s="115">
        <v>226.0</v>
      </c>
      <c r="B68" s="116" t="s">
        <v>245</v>
      </c>
      <c r="C68" s="117">
        <v>14.0</v>
      </c>
    </row>
    <row r="69" ht="14.25" customHeight="1">
      <c r="A69" s="115">
        <v>227.0</v>
      </c>
      <c r="B69" s="116" t="s">
        <v>246</v>
      </c>
      <c r="C69" s="117">
        <v>14.0</v>
      </c>
    </row>
    <row r="70" ht="14.25" customHeight="1">
      <c r="A70" s="115">
        <v>229.0</v>
      </c>
      <c r="B70" s="116" t="s">
        <v>118</v>
      </c>
      <c r="C70" s="117">
        <v>14.0</v>
      </c>
    </row>
    <row r="71" ht="14.25" customHeight="1">
      <c r="A71" s="115">
        <v>237.0</v>
      </c>
      <c r="B71" s="116" t="s">
        <v>247</v>
      </c>
      <c r="C71" s="118">
        <v>0.0</v>
      </c>
    </row>
    <row r="72" ht="14.25" customHeight="1">
      <c r="A72" s="115">
        <v>238.0</v>
      </c>
      <c r="B72" s="116" t="s">
        <v>248</v>
      </c>
      <c r="C72" s="117">
        <v>21.0</v>
      </c>
    </row>
    <row r="73" ht="14.25" customHeight="1">
      <c r="A73" s="115">
        <v>240.0</v>
      </c>
      <c r="B73" s="116" t="s">
        <v>249</v>
      </c>
      <c r="C73" s="117">
        <v>7.0</v>
      </c>
    </row>
    <row r="74" ht="14.25" customHeight="1">
      <c r="A74" s="115">
        <v>242.0</v>
      </c>
      <c r="B74" s="116" t="s">
        <v>250</v>
      </c>
      <c r="C74" s="117">
        <v>14.0</v>
      </c>
    </row>
    <row r="75" ht="14.25" customHeight="1">
      <c r="A75" s="115">
        <v>246.0</v>
      </c>
      <c r="B75" s="116" t="s">
        <v>251</v>
      </c>
      <c r="C75" s="118">
        <v>7.0</v>
      </c>
    </row>
    <row r="76" ht="14.25" customHeight="1">
      <c r="A76" s="115">
        <v>247.0</v>
      </c>
      <c r="B76" s="116" t="s">
        <v>252</v>
      </c>
      <c r="C76" s="118">
        <v>0.0</v>
      </c>
    </row>
    <row r="77" ht="14.25" customHeight="1">
      <c r="A77" s="115">
        <v>251.0</v>
      </c>
      <c r="B77" s="116" t="s">
        <v>253</v>
      </c>
      <c r="C77" s="117">
        <v>14.0</v>
      </c>
    </row>
    <row r="78" ht="14.25" customHeight="1">
      <c r="A78" s="115">
        <v>236.0</v>
      </c>
      <c r="B78" s="116" t="s">
        <v>254</v>
      </c>
      <c r="C78" s="117">
        <v>14.0</v>
      </c>
    </row>
    <row r="79" ht="14.25" customHeight="1">
      <c r="A79" s="115">
        <v>263.0</v>
      </c>
      <c r="B79" s="116" t="s">
        <v>255</v>
      </c>
      <c r="C79" s="118">
        <v>0.0</v>
      </c>
    </row>
    <row r="80" ht="14.25" customHeight="1">
      <c r="A80" s="115">
        <v>264.0</v>
      </c>
      <c r="B80" s="116" t="s">
        <v>256</v>
      </c>
      <c r="C80" s="117">
        <v>14.0</v>
      </c>
    </row>
    <row r="81" ht="14.25" customHeight="1">
      <c r="A81" s="115">
        <v>241.0</v>
      </c>
      <c r="B81" s="116" t="s">
        <v>257</v>
      </c>
      <c r="C81" s="117">
        <v>0.0</v>
      </c>
    </row>
    <row r="82" ht="14.25" customHeight="1">
      <c r="A82" s="115">
        <v>268.0</v>
      </c>
      <c r="B82" s="116" t="s">
        <v>258</v>
      </c>
      <c r="C82" s="118">
        <v>4.0</v>
      </c>
    </row>
    <row r="83" ht="14.25" customHeight="1">
      <c r="A83" s="115">
        <v>271.0</v>
      </c>
      <c r="B83" s="116" t="s">
        <v>259</v>
      </c>
      <c r="C83" s="117">
        <v>14.0</v>
      </c>
    </row>
    <row r="84" ht="14.25" customHeight="1">
      <c r="A84" s="115">
        <v>249.0</v>
      </c>
      <c r="B84" s="116" t="s">
        <v>160</v>
      </c>
      <c r="C84" s="117">
        <v>14.0</v>
      </c>
    </row>
    <row r="85" ht="14.25" customHeight="1">
      <c r="A85" s="115">
        <v>250.0</v>
      </c>
      <c r="B85" s="116" t="s">
        <v>156</v>
      </c>
      <c r="C85" s="118">
        <v>0.0</v>
      </c>
    </row>
    <row r="86" ht="14.25" customHeight="1">
      <c r="A86" s="115">
        <v>276.0</v>
      </c>
      <c r="B86" s="116" t="s">
        <v>141</v>
      </c>
      <c r="C86" s="117">
        <v>7.0</v>
      </c>
    </row>
    <row r="87" ht="14.25" customHeight="1">
      <c r="A87" s="115">
        <v>278.0</v>
      </c>
      <c r="B87" s="116" t="s">
        <v>260</v>
      </c>
      <c r="C87" s="117">
        <v>0.0</v>
      </c>
    </row>
    <row r="88" ht="14.25" customHeight="1">
      <c r="A88" s="115">
        <v>273.0</v>
      </c>
      <c r="B88" s="116" t="s">
        <v>261</v>
      </c>
      <c r="C88" s="117">
        <v>14.0</v>
      </c>
    </row>
    <row r="89" ht="14.25" customHeight="1">
      <c r="A89" s="115">
        <v>288.0</v>
      </c>
      <c r="B89" s="116" t="s">
        <v>262</v>
      </c>
      <c r="C89" s="117">
        <v>14.0</v>
      </c>
    </row>
    <row r="90" ht="14.25" customHeight="1">
      <c r="A90" s="115">
        <v>290.0</v>
      </c>
      <c r="B90" s="116" t="s">
        <v>263</v>
      </c>
      <c r="C90" s="117">
        <v>14.0</v>
      </c>
    </row>
    <row r="91" ht="14.25" customHeight="1">
      <c r="A91" s="115">
        <v>292.0</v>
      </c>
      <c r="B91" s="116" t="s">
        <v>264</v>
      </c>
      <c r="C91" s="117">
        <v>14.0</v>
      </c>
    </row>
    <row r="92" ht="14.25" customHeight="1">
      <c r="A92" s="119">
        <v>295.0</v>
      </c>
      <c r="B92" s="116" t="s">
        <v>265</v>
      </c>
      <c r="C92" s="32">
        <v>6.0</v>
      </c>
    </row>
    <row r="93" ht="14.25" customHeight="1">
      <c r="A93" s="119">
        <v>297.0</v>
      </c>
      <c r="B93" s="116" t="s">
        <v>266</v>
      </c>
      <c r="C93" s="118">
        <v>0.0</v>
      </c>
    </row>
    <row r="94" ht="14.25" customHeight="1">
      <c r="A94" s="119">
        <v>299.0</v>
      </c>
      <c r="B94" s="116" t="s">
        <v>267</v>
      </c>
      <c r="C94" s="117">
        <v>14.0</v>
      </c>
    </row>
    <row r="95" ht="14.25" customHeight="1">
      <c r="A95" s="119">
        <v>300.0</v>
      </c>
      <c r="B95" s="116" t="s">
        <v>268</v>
      </c>
      <c r="C95" s="117">
        <v>5.0</v>
      </c>
    </row>
    <row r="96" ht="14.25" customHeight="1">
      <c r="A96" s="119">
        <v>301.0</v>
      </c>
      <c r="B96" s="116" t="s">
        <v>269</v>
      </c>
      <c r="C96" s="117">
        <v>4.0</v>
      </c>
    </row>
    <row r="97" ht="14.25" customHeight="1">
      <c r="A97" s="119">
        <v>287.0</v>
      </c>
      <c r="B97" s="116" t="s">
        <v>270</v>
      </c>
      <c r="C97" s="117">
        <v>14.0</v>
      </c>
    </row>
    <row r="98" ht="14.25" customHeight="1">
      <c r="A98" s="120">
        <v>302.0</v>
      </c>
      <c r="B98" s="121" t="s">
        <v>271</v>
      </c>
      <c r="C98" s="118">
        <v>2.0</v>
      </c>
    </row>
    <row r="99" ht="14.25" customHeight="1">
      <c r="A99" s="119">
        <v>253.0</v>
      </c>
      <c r="B99" s="116" t="s">
        <v>183</v>
      </c>
      <c r="C99" s="117">
        <v>14.0</v>
      </c>
    </row>
    <row r="100" ht="14.25" customHeight="1">
      <c r="C100" s="117"/>
    </row>
    <row r="101" ht="14.25" customHeight="1">
      <c r="C101" s="117"/>
    </row>
    <row r="102" ht="14.25" customHeight="1">
      <c r="C102" s="117"/>
    </row>
    <row r="103" ht="14.25" customHeight="1">
      <c r="C103" s="117"/>
    </row>
    <row r="104" ht="14.25" customHeight="1">
      <c r="C104" s="117"/>
    </row>
    <row r="105" ht="14.25" customHeight="1">
      <c r="C105" s="117"/>
    </row>
    <row r="106" ht="14.25" customHeight="1">
      <c r="C106" s="117"/>
    </row>
    <row r="107" ht="14.25" customHeight="1">
      <c r="C107" s="117"/>
    </row>
    <row r="108" ht="14.25" customHeight="1">
      <c r="C108" s="117"/>
    </row>
    <row r="109" ht="14.25" customHeight="1">
      <c r="C109" s="117"/>
    </row>
    <row r="110" ht="14.25" customHeight="1">
      <c r="C110" s="117"/>
    </row>
    <row r="111" ht="14.25" customHeight="1">
      <c r="C111" s="117"/>
    </row>
    <row r="112" ht="14.25" customHeight="1">
      <c r="C112" s="117"/>
    </row>
    <row r="113" ht="14.25" customHeight="1">
      <c r="C113" s="117"/>
    </row>
    <row r="114" ht="14.25" customHeight="1">
      <c r="C114" s="117"/>
    </row>
    <row r="115" ht="14.25" customHeight="1">
      <c r="C115" s="117"/>
    </row>
    <row r="116" ht="14.25" customHeight="1">
      <c r="C116" s="117"/>
    </row>
    <row r="117" ht="14.25" customHeight="1">
      <c r="C117" s="117"/>
    </row>
    <row r="118" ht="14.25" customHeight="1">
      <c r="C118" s="117"/>
    </row>
    <row r="119" ht="14.25" customHeight="1">
      <c r="C119" s="117"/>
    </row>
    <row r="120" ht="14.25" customHeight="1">
      <c r="C120" s="117"/>
    </row>
    <row r="121" ht="14.25" customHeight="1">
      <c r="C121" s="117"/>
    </row>
    <row r="122" ht="14.25" customHeight="1">
      <c r="C122" s="117"/>
    </row>
    <row r="123" ht="14.25" customHeight="1">
      <c r="C123" s="117"/>
    </row>
    <row r="124" ht="14.25" customHeight="1">
      <c r="C124" s="117"/>
    </row>
    <row r="125" ht="14.25" customHeight="1">
      <c r="C125" s="117"/>
    </row>
    <row r="126" ht="14.25" customHeight="1">
      <c r="C126" s="117"/>
    </row>
    <row r="127" ht="14.25" customHeight="1">
      <c r="C127" s="117"/>
    </row>
    <row r="128" ht="14.25" customHeight="1">
      <c r="C128" s="117"/>
    </row>
    <row r="129" ht="14.25" customHeight="1">
      <c r="C129" s="117"/>
    </row>
    <row r="130" ht="14.25" customHeight="1">
      <c r="C130" s="117"/>
    </row>
    <row r="131" ht="14.25" customHeight="1">
      <c r="C131" s="117"/>
    </row>
    <row r="132" ht="14.25" customHeight="1">
      <c r="C132" s="117"/>
    </row>
    <row r="133" ht="14.25" customHeight="1">
      <c r="C133" s="117"/>
    </row>
    <row r="134" ht="14.25" customHeight="1">
      <c r="C134" s="117"/>
    </row>
    <row r="135" ht="14.25" customHeight="1">
      <c r="C135" s="117"/>
    </row>
    <row r="136" ht="14.25" customHeight="1">
      <c r="C136" s="117"/>
    </row>
    <row r="137" ht="14.25" customHeight="1">
      <c r="C137" s="117"/>
    </row>
    <row r="138" ht="14.25" customHeight="1">
      <c r="C138" s="117"/>
    </row>
    <row r="139" ht="14.25" customHeight="1">
      <c r="C139" s="117"/>
    </row>
    <row r="140" ht="14.25" customHeight="1">
      <c r="C140" s="117"/>
    </row>
    <row r="141" ht="14.25" customHeight="1">
      <c r="C141" s="117"/>
    </row>
    <row r="142" ht="14.25" customHeight="1">
      <c r="C142" s="117"/>
    </row>
    <row r="143" ht="14.25" customHeight="1">
      <c r="C143" s="117"/>
    </row>
    <row r="144" ht="14.25" customHeight="1">
      <c r="C144" s="117"/>
    </row>
    <row r="145" ht="14.25" customHeight="1">
      <c r="C145" s="117"/>
    </row>
    <row r="146" ht="14.25" customHeight="1">
      <c r="C146" s="117"/>
    </row>
    <row r="147" ht="14.25" customHeight="1">
      <c r="C147" s="117"/>
    </row>
    <row r="148" ht="14.25" customHeight="1">
      <c r="C148" s="117"/>
    </row>
    <row r="149" ht="14.25" customHeight="1">
      <c r="C149" s="117"/>
    </row>
    <row r="150" ht="14.25" customHeight="1">
      <c r="C150" s="117"/>
    </row>
    <row r="151" ht="14.25" customHeight="1">
      <c r="C151" s="117"/>
    </row>
    <row r="152" ht="14.25" customHeight="1">
      <c r="C152" s="117"/>
    </row>
    <row r="153" ht="14.25" customHeight="1">
      <c r="C153" s="117"/>
    </row>
    <row r="154" ht="14.25" customHeight="1">
      <c r="C154" s="117"/>
    </row>
    <row r="155" ht="14.25" customHeight="1">
      <c r="C155" s="117"/>
    </row>
    <row r="156" ht="14.25" customHeight="1">
      <c r="C156" s="117"/>
    </row>
    <row r="157" ht="14.25" customHeight="1">
      <c r="C157" s="117"/>
    </row>
    <row r="158" ht="14.25" customHeight="1">
      <c r="C158" s="117"/>
    </row>
    <row r="159" ht="14.25" customHeight="1">
      <c r="C159" s="117"/>
    </row>
    <row r="160" ht="14.25" customHeight="1">
      <c r="C160" s="117"/>
    </row>
    <row r="161" ht="14.25" customHeight="1">
      <c r="C161" s="117"/>
    </row>
    <row r="162" ht="14.25" customHeight="1">
      <c r="C162" s="117"/>
    </row>
    <row r="163" ht="14.25" customHeight="1">
      <c r="C163" s="117"/>
    </row>
    <row r="164" ht="14.25" customHeight="1">
      <c r="C164" s="117"/>
    </row>
    <row r="165" ht="14.25" customHeight="1">
      <c r="C165" s="117"/>
    </row>
    <row r="166" ht="14.25" customHeight="1">
      <c r="C166" s="117"/>
    </row>
    <row r="167" ht="14.25" customHeight="1">
      <c r="C167" s="117"/>
    </row>
    <row r="168" ht="14.25" customHeight="1">
      <c r="C168" s="117"/>
    </row>
    <row r="169" ht="14.25" customHeight="1">
      <c r="C169" s="117"/>
    </row>
    <row r="170" ht="14.25" customHeight="1">
      <c r="C170" s="117"/>
    </row>
    <row r="171" ht="14.25" customHeight="1">
      <c r="C171" s="117"/>
    </row>
    <row r="172" ht="14.25" customHeight="1">
      <c r="C172" s="117"/>
    </row>
    <row r="173" ht="14.25" customHeight="1">
      <c r="C173" s="117"/>
    </row>
    <row r="174" ht="14.25" customHeight="1">
      <c r="C174" s="117"/>
    </row>
    <row r="175" ht="14.25" customHeight="1">
      <c r="C175" s="117"/>
    </row>
    <row r="176" ht="14.25" customHeight="1">
      <c r="C176" s="117"/>
    </row>
    <row r="177" ht="14.25" customHeight="1">
      <c r="C177" s="117"/>
    </row>
    <row r="178" ht="14.25" customHeight="1">
      <c r="C178" s="117"/>
    </row>
    <row r="179" ht="14.25" customHeight="1">
      <c r="C179" s="117"/>
    </row>
    <row r="180" ht="14.25" customHeight="1">
      <c r="C180" s="117"/>
    </row>
    <row r="181" ht="14.25" customHeight="1">
      <c r="C181" s="117"/>
    </row>
    <row r="182" ht="14.25" customHeight="1">
      <c r="C182" s="117"/>
    </row>
    <row r="183" ht="14.25" customHeight="1">
      <c r="C183" s="117"/>
    </row>
    <row r="184" ht="14.25" customHeight="1">
      <c r="C184" s="117"/>
    </row>
    <row r="185" ht="14.25" customHeight="1">
      <c r="C185" s="117"/>
    </row>
    <row r="186" ht="14.25" customHeight="1">
      <c r="C186" s="117"/>
    </row>
    <row r="187" ht="14.25" customHeight="1">
      <c r="C187" s="117"/>
    </row>
    <row r="188" ht="14.25" customHeight="1">
      <c r="C188" s="117"/>
    </row>
    <row r="189" ht="14.25" customHeight="1">
      <c r="C189" s="117"/>
    </row>
    <row r="190" ht="14.25" customHeight="1">
      <c r="C190" s="117"/>
    </row>
    <row r="191" ht="14.25" customHeight="1">
      <c r="C191" s="117"/>
    </row>
    <row r="192" ht="14.25" customHeight="1">
      <c r="C192" s="117"/>
    </row>
    <row r="193" ht="14.25" customHeight="1">
      <c r="C193" s="117"/>
    </row>
    <row r="194" ht="14.25" customHeight="1">
      <c r="C194" s="117"/>
    </row>
    <row r="195" ht="14.25" customHeight="1">
      <c r="C195" s="117"/>
    </row>
    <row r="196" ht="14.25" customHeight="1">
      <c r="C196" s="117"/>
    </row>
    <row r="197" ht="14.25" customHeight="1">
      <c r="C197" s="117"/>
    </row>
    <row r="198" ht="14.25" customHeight="1">
      <c r="C198" s="117"/>
    </row>
    <row r="199" ht="14.25" customHeight="1">
      <c r="C199" s="117"/>
    </row>
    <row r="200" ht="14.25" customHeight="1">
      <c r="C200" s="117"/>
    </row>
    <row r="201" ht="14.25" customHeight="1">
      <c r="C201" s="117"/>
    </row>
    <row r="202" ht="14.25" customHeight="1">
      <c r="C202" s="117"/>
    </row>
    <row r="203" ht="14.25" customHeight="1">
      <c r="C203" s="117"/>
    </row>
    <row r="204" ht="14.25" customHeight="1">
      <c r="C204" s="117"/>
    </row>
    <row r="205" ht="14.25" customHeight="1">
      <c r="C205" s="117"/>
    </row>
    <row r="206" ht="14.25" customHeight="1">
      <c r="C206" s="117"/>
    </row>
    <row r="207" ht="14.25" customHeight="1">
      <c r="C207" s="117"/>
    </row>
    <row r="208" ht="14.25" customHeight="1">
      <c r="C208" s="117"/>
    </row>
    <row r="209" ht="14.25" customHeight="1">
      <c r="C209" s="117"/>
    </row>
    <row r="210" ht="14.25" customHeight="1">
      <c r="C210" s="117"/>
    </row>
    <row r="211" ht="14.25" customHeight="1">
      <c r="C211" s="117"/>
    </row>
    <row r="212" ht="14.25" customHeight="1">
      <c r="C212" s="117"/>
    </row>
    <row r="213" ht="14.25" customHeight="1">
      <c r="C213" s="117"/>
    </row>
    <row r="214" ht="14.25" customHeight="1">
      <c r="C214" s="117"/>
    </row>
    <row r="215" ht="14.25" customHeight="1">
      <c r="C215" s="117"/>
    </row>
    <row r="216" ht="14.25" customHeight="1">
      <c r="C216" s="117"/>
    </row>
    <row r="217" ht="14.25" customHeight="1">
      <c r="C217" s="117"/>
    </row>
    <row r="218" ht="14.25" customHeight="1">
      <c r="C218" s="117"/>
    </row>
    <row r="219" ht="14.25" customHeight="1">
      <c r="C219" s="117"/>
    </row>
    <row r="220" ht="14.25" customHeight="1">
      <c r="C220" s="117"/>
    </row>
    <row r="221" ht="14.25" customHeight="1">
      <c r="C221" s="117"/>
    </row>
    <row r="222" ht="14.25" customHeight="1">
      <c r="C222" s="117"/>
    </row>
    <row r="223" ht="14.25" customHeight="1">
      <c r="C223" s="117"/>
    </row>
    <row r="224" ht="14.25" customHeight="1">
      <c r="C224" s="117"/>
    </row>
    <row r="225" ht="14.25" customHeight="1">
      <c r="C225" s="117"/>
    </row>
    <row r="226" ht="14.25" customHeight="1">
      <c r="C226" s="117"/>
    </row>
    <row r="227" ht="14.25" customHeight="1">
      <c r="C227" s="117"/>
    </row>
    <row r="228" ht="14.25" customHeight="1">
      <c r="C228" s="117"/>
    </row>
    <row r="229" ht="14.25" customHeight="1">
      <c r="C229" s="117"/>
    </row>
    <row r="230" ht="14.25" customHeight="1">
      <c r="C230" s="117"/>
    </row>
    <row r="231" ht="14.25" customHeight="1">
      <c r="C231" s="117"/>
    </row>
    <row r="232" ht="14.25" customHeight="1">
      <c r="C232" s="117"/>
    </row>
    <row r="233" ht="14.25" customHeight="1">
      <c r="C233" s="117"/>
    </row>
    <row r="234" ht="14.25" customHeight="1">
      <c r="C234" s="117"/>
    </row>
    <row r="235" ht="14.25" customHeight="1">
      <c r="C235" s="117"/>
    </row>
    <row r="236" ht="14.25" customHeight="1">
      <c r="C236" s="117"/>
    </row>
    <row r="237" ht="14.25" customHeight="1">
      <c r="C237" s="117"/>
    </row>
    <row r="238" ht="14.25" customHeight="1">
      <c r="C238" s="117"/>
    </row>
    <row r="239" ht="14.25" customHeight="1">
      <c r="C239" s="117"/>
    </row>
    <row r="240" ht="14.25" customHeight="1">
      <c r="C240" s="117"/>
    </row>
    <row r="241" ht="14.25" customHeight="1">
      <c r="C241" s="117"/>
    </row>
    <row r="242" ht="14.25" customHeight="1">
      <c r="C242" s="117"/>
    </row>
    <row r="243" ht="14.25" customHeight="1">
      <c r="C243" s="117"/>
    </row>
    <row r="244" ht="14.25" customHeight="1">
      <c r="C244" s="117"/>
    </row>
    <row r="245" ht="14.25" customHeight="1">
      <c r="C245" s="117"/>
    </row>
    <row r="246" ht="14.25" customHeight="1">
      <c r="C246" s="117"/>
    </row>
    <row r="247" ht="14.25" customHeight="1">
      <c r="C247" s="117"/>
    </row>
    <row r="248" ht="14.25" customHeight="1">
      <c r="C248" s="117"/>
    </row>
    <row r="249" ht="14.25" customHeight="1">
      <c r="C249" s="117"/>
    </row>
    <row r="250" ht="14.25" customHeight="1">
      <c r="C250" s="117"/>
    </row>
    <row r="251" ht="14.25" customHeight="1">
      <c r="C251" s="117"/>
    </row>
    <row r="252" ht="14.25" customHeight="1">
      <c r="C252" s="117"/>
    </row>
    <row r="253" ht="14.25" customHeight="1">
      <c r="C253" s="117"/>
    </row>
    <row r="254" ht="14.25" customHeight="1">
      <c r="C254" s="117"/>
    </row>
    <row r="255" ht="14.25" customHeight="1">
      <c r="C255" s="117"/>
    </row>
    <row r="256" ht="14.25" customHeight="1">
      <c r="C256" s="117"/>
    </row>
    <row r="257" ht="14.25" customHeight="1">
      <c r="C257" s="117"/>
    </row>
    <row r="258" ht="14.25" customHeight="1">
      <c r="C258" s="117"/>
    </row>
    <row r="259" ht="14.25" customHeight="1">
      <c r="C259" s="117"/>
    </row>
    <row r="260" ht="14.25" customHeight="1">
      <c r="C260" s="117"/>
    </row>
    <row r="261" ht="14.25" customHeight="1">
      <c r="C261" s="117"/>
    </row>
    <row r="262" ht="14.25" customHeight="1">
      <c r="C262" s="117"/>
    </row>
    <row r="263" ht="14.25" customHeight="1">
      <c r="C263" s="117"/>
    </row>
    <row r="264" ht="14.25" customHeight="1">
      <c r="C264" s="117"/>
    </row>
    <row r="265" ht="14.25" customHeight="1">
      <c r="C265" s="117"/>
    </row>
    <row r="266" ht="14.25" customHeight="1">
      <c r="C266" s="117"/>
    </row>
    <row r="267" ht="14.25" customHeight="1">
      <c r="C267" s="117"/>
    </row>
    <row r="268" ht="14.25" customHeight="1">
      <c r="C268" s="117"/>
    </row>
    <row r="269" ht="14.25" customHeight="1">
      <c r="C269" s="117"/>
    </row>
    <row r="270" ht="14.25" customHeight="1">
      <c r="C270" s="117"/>
    </row>
    <row r="271" ht="14.25" customHeight="1">
      <c r="C271" s="117"/>
    </row>
    <row r="272" ht="14.25" customHeight="1">
      <c r="C272" s="117"/>
    </row>
    <row r="273" ht="14.25" customHeight="1">
      <c r="C273" s="117"/>
    </row>
    <row r="274" ht="14.25" customHeight="1">
      <c r="C274" s="117"/>
    </row>
    <row r="275" ht="14.25" customHeight="1">
      <c r="C275" s="117"/>
    </row>
    <row r="276" ht="14.25" customHeight="1">
      <c r="C276" s="117"/>
    </row>
    <row r="277" ht="14.25" customHeight="1">
      <c r="C277" s="117"/>
    </row>
    <row r="278" ht="14.25" customHeight="1">
      <c r="C278" s="117"/>
    </row>
    <row r="279" ht="14.25" customHeight="1">
      <c r="C279" s="117"/>
    </row>
    <row r="280" ht="14.25" customHeight="1">
      <c r="C280" s="117"/>
    </row>
    <row r="281" ht="14.25" customHeight="1">
      <c r="C281" s="117"/>
    </row>
    <row r="282" ht="14.25" customHeight="1">
      <c r="C282" s="117"/>
    </row>
    <row r="283" ht="14.25" customHeight="1">
      <c r="C283" s="117"/>
    </row>
    <row r="284" ht="14.25" customHeight="1">
      <c r="C284" s="117"/>
    </row>
    <row r="285" ht="14.25" customHeight="1">
      <c r="C285" s="117"/>
    </row>
    <row r="286" ht="14.25" customHeight="1">
      <c r="C286" s="117"/>
    </row>
    <row r="287" ht="14.25" customHeight="1">
      <c r="C287" s="117"/>
    </row>
    <row r="288" ht="14.25" customHeight="1">
      <c r="C288" s="117"/>
    </row>
    <row r="289" ht="14.25" customHeight="1">
      <c r="C289" s="117"/>
    </row>
    <row r="290" ht="14.25" customHeight="1">
      <c r="C290" s="117"/>
    </row>
    <row r="291" ht="14.25" customHeight="1">
      <c r="C291" s="117"/>
    </row>
    <row r="292" ht="14.25" customHeight="1">
      <c r="C292" s="117"/>
    </row>
    <row r="293" ht="14.25" customHeight="1">
      <c r="C293" s="117"/>
    </row>
    <row r="294" ht="14.25" customHeight="1">
      <c r="C294" s="117"/>
    </row>
    <row r="295" ht="14.25" customHeight="1">
      <c r="C295" s="117"/>
    </row>
    <row r="296" ht="14.25" customHeight="1">
      <c r="C296" s="117"/>
    </row>
    <row r="297" ht="14.25" customHeight="1">
      <c r="C297" s="117"/>
    </row>
    <row r="298" ht="14.25" customHeight="1">
      <c r="C298" s="117"/>
    </row>
    <row r="299" ht="14.25" customHeight="1">
      <c r="C299" s="117"/>
    </row>
    <row r="300" ht="14.25" customHeight="1">
      <c r="C300" s="117"/>
    </row>
    <row r="301" ht="14.25" customHeight="1">
      <c r="C301" s="117"/>
    </row>
    <row r="302" ht="14.25" customHeight="1">
      <c r="C302" s="117"/>
    </row>
    <row r="303" ht="14.25" customHeight="1">
      <c r="C303" s="117"/>
    </row>
    <row r="304" ht="14.25" customHeight="1">
      <c r="C304" s="117"/>
    </row>
    <row r="305" ht="14.25" customHeight="1">
      <c r="C305" s="117"/>
    </row>
    <row r="306" ht="14.25" customHeight="1">
      <c r="C306" s="117"/>
    </row>
    <row r="307" ht="14.25" customHeight="1">
      <c r="C307" s="117"/>
    </row>
    <row r="308" ht="14.25" customHeight="1">
      <c r="C308" s="117"/>
    </row>
    <row r="309" ht="14.25" customHeight="1">
      <c r="C309" s="117"/>
    </row>
    <row r="310" ht="14.25" customHeight="1">
      <c r="C310" s="117"/>
    </row>
    <row r="311" ht="14.25" customHeight="1">
      <c r="C311" s="117"/>
    </row>
    <row r="312" ht="14.25" customHeight="1">
      <c r="C312" s="117"/>
    </row>
    <row r="313" ht="14.25" customHeight="1">
      <c r="C313" s="117"/>
    </row>
    <row r="314" ht="14.25" customHeight="1">
      <c r="C314" s="117"/>
    </row>
    <row r="315" ht="14.25" customHeight="1">
      <c r="C315" s="117"/>
    </row>
    <row r="316" ht="14.25" customHeight="1">
      <c r="C316" s="117"/>
    </row>
    <row r="317" ht="14.25" customHeight="1">
      <c r="C317" s="117"/>
    </row>
    <row r="318" ht="14.25" customHeight="1">
      <c r="C318" s="117"/>
    </row>
    <row r="319" ht="14.25" customHeight="1">
      <c r="C319" s="117"/>
    </row>
    <row r="320" ht="14.25" customHeight="1">
      <c r="C320" s="117"/>
    </row>
    <row r="321" ht="14.25" customHeight="1">
      <c r="C321" s="117"/>
    </row>
    <row r="322" ht="14.25" customHeight="1">
      <c r="C322" s="117"/>
    </row>
    <row r="323" ht="14.25" customHeight="1">
      <c r="C323" s="117"/>
    </row>
    <row r="324" ht="14.25" customHeight="1">
      <c r="C324" s="117"/>
    </row>
    <row r="325" ht="14.25" customHeight="1">
      <c r="C325" s="117"/>
    </row>
    <row r="326" ht="14.25" customHeight="1">
      <c r="C326" s="117"/>
    </row>
    <row r="327" ht="14.25" customHeight="1">
      <c r="C327" s="117"/>
    </row>
    <row r="328" ht="14.25" customHeight="1">
      <c r="C328" s="117"/>
    </row>
    <row r="329" ht="14.25" customHeight="1">
      <c r="C329" s="117"/>
    </row>
    <row r="330" ht="14.25" customHeight="1">
      <c r="C330" s="117"/>
    </row>
    <row r="331" ht="14.25" customHeight="1">
      <c r="C331" s="117"/>
    </row>
    <row r="332" ht="14.25" customHeight="1">
      <c r="C332" s="117"/>
    </row>
    <row r="333" ht="14.25" customHeight="1">
      <c r="C333" s="117"/>
    </row>
    <row r="334" ht="14.25" customHeight="1">
      <c r="C334" s="117"/>
    </row>
    <row r="335" ht="14.25" customHeight="1">
      <c r="C335" s="117"/>
    </row>
    <row r="336" ht="14.25" customHeight="1">
      <c r="C336" s="117"/>
    </row>
    <row r="337" ht="14.25" customHeight="1">
      <c r="C337" s="117"/>
    </row>
    <row r="338" ht="14.25" customHeight="1">
      <c r="C338" s="117"/>
    </row>
    <row r="339" ht="14.25" customHeight="1">
      <c r="C339" s="117"/>
    </row>
    <row r="340" ht="14.25" customHeight="1">
      <c r="C340" s="117"/>
    </row>
    <row r="341" ht="14.25" customHeight="1">
      <c r="C341" s="117"/>
    </row>
    <row r="342" ht="14.25" customHeight="1">
      <c r="C342" s="117"/>
    </row>
    <row r="343" ht="14.25" customHeight="1">
      <c r="C343" s="117"/>
    </row>
    <row r="344" ht="14.25" customHeight="1">
      <c r="C344" s="117"/>
    </row>
    <row r="345" ht="14.25" customHeight="1">
      <c r="C345" s="117"/>
    </row>
    <row r="346" ht="14.25" customHeight="1">
      <c r="C346" s="117"/>
    </row>
    <row r="347" ht="14.25" customHeight="1">
      <c r="C347" s="117"/>
    </row>
    <row r="348" ht="14.25" customHeight="1">
      <c r="C348" s="117"/>
    </row>
    <row r="349" ht="14.25" customHeight="1">
      <c r="C349" s="117"/>
    </row>
    <row r="350" ht="14.25" customHeight="1">
      <c r="C350" s="117"/>
    </row>
    <row r="351" ht="14.25" customHeight="1">
      <c r="C351" s="117"/>
    </row>
    <row r="352" ht="14.25" customHeight="1">
      <c r="C352" s="117"/>
    </row>
    <row r="353" ht="14.25" customHeight="1">
      <c r="C353" s="117"/>
    </row>
    <row r="354" ht="14.25" customHeight="1">
      <c r="C354" s="117"/>
    </row>
    <row r="355" ht="14.25" customHeight="1">
      <c r="C355" s="117"/>
    </row>
    <row r="356" ht="14.25" customHeight="1">
      <c r="C356" s="117"/>
    </row>
    <row r="357" ht="14.25" customHeight="1">
      <c r="C357" s="117"/>
    </row>
    <row r="358" ht="14.25" customHeight="1">
      <c r="C358" s="117"/>
    </row>
    <row r="359" ht="14.25" customHeight="1">
      <c r="C359" s="117"/>
    </row>
    <row r="360" ht="14.25" customHeight="1">
      <c r="C360" s="117"/>
    </row>
    <row r="361" ht="14.25" customHeight="1">
      <c r="C361" s="117"/>
    </row>
    <row r="362" ht="14.25" customHeight="1">
      <c r="C362" s="117"/>
    </row>
    <row r="363" ht="14.25" customHeight="1">
      <c r="C363" s="117"/>
    </row>
    <row r="364" ht="14.25" customHeight="1">
      <c r="C364" s="117"/>
    </row>
    <row r="365" ht="14.25" customHeight="1">
      <c r="C365" s="117"/>
    </row>
    <row r="366" ht="14.25" customHeight="1">
      <c r="C366" s="117"/>
    </row>
    <row r="367" ht="14.25" customHeight="1">
      <c r="C367" s="117"/>
    </row>
    <row r="368" ht="14.25" customHeight="1">
      <c r="C368" s="117"/>
    </row>
    <row r="369" ht="14.25" customHeight="1">
      <c r="C369" s="117"/>
    </row>
    <row r="370" ht="14.25" customHeight="1">
      <c r="C370" s="117"/>
    </row>
    <row r="371" ht="14.25" customHeight="1">
      <c r="C371" s="117"/>
    </row>
    <row r="372" ht="14.25" customHeight="1">
      <c r="C372" s="117"/>
    </row>
    <row r="373" ht="14.25" customHeight="1">
      <c r="C373" s="117"/>
    </row>
    <row r="374" ht="14.25" customHeight="1">
      <c r="C374" s="117"/>
    </row>
    <row r="375" ht="14.25" customHeight="1">
      <c r="C375" s="117"/>
    </row>
    <row r="376" ht="14.25" customHeight="1">
      <c r="C376" s="117"/>
    </row>
    <row r="377" ht="14.25" customHeight="1">
      <c r="C377" s="117"/>
    </row>
    <row r="378" ht="14.25" customHeight="1">
      <c r="C378" s="117"/>
    </row>
    <row r="379" ht="14.25" customHeight="1">
      <c r="C379" s="117"/>
    </row>
    <row r="380" ht="14.25" customHeight="1">
      <c r="C380" s="117"/>
    </row>
    <row r="381" ht="14.25" customHeight="1">
      <c r="C381" s="117"/>
    </row>
    <row r="382" ht="14.25" customHeight="1">
      <c r="C382" s="117"/>
    </row>
    <row r="383" ht="14.25" customHeight="1">
      <c r="C383" s="117"/>
    </row>
    <row r="384" ht="14.25" customHeight="1">
      <c r="C384" s="117"/>
    </row>
    <row r="385" ht="14.25" customHeight="1">
      <c r="C385" s="117"/>
    </row>
    <row r="386" ht="14.25" customHeight="1">
      <c r="C386" s="117"/>
    </row>
    <row r="387" ht="14.25" customHeight="1">
      <c r="C387" s="117"/>
    </row>
    <row r="388" ht="14.25" customHeight="1">
      <c r="C388" s="117"/>
    </row>
    <row r="389" ht="14.25" customHeight="1">
      <c r="C389" s="117"/>
    </row>
    <row r="390" ht="14.25" customHeight="1">
      <c r="C390" s="117"/>
    </row>
    <row r="391" ht="14.25" customHeight="1">
      <c r="C391" s="117"/>
    </row>
    <row r="392" ht="14.25" customHeight="1">
      <c r="C392" s="117"/>
    </row>
    <row r="393" ht="14.25" customHeight="1">
      <c r="C393" s="117"/>
    </row>
    <row r="394" ht="14.25" customHeight="1">
      <c r="C394" s="117"/>
    </row>
    <row r="395" ht="14.25" customHeight="1">
      <c r="C395" s="117"/>
    </row>
    <row r="396" ht="14.25" customHeight="1">
      <c r="C396" s="117"/>
    </row>
    <row r="397" ht="14.25" customHeight="1">
      <c r="C397" s="117"/>
    </row>
    <row r="398" ht="14.25" customHeight="1">
      <c r="C398" s="117"/>
    </row>
    <row r="399" ht="14.25" customHeight="1">
      <c r="C399" s="117"/>
    </row>
    <row r="400" ht="14.25" customHeight="1">
      <c r="C400" s="117"/>
    </row>
    <row r="401" ht="14.25" customHeight="1">
      <c r="C401" s="117"/>
    </row>
    <row r="402" ht="14.25" customHeight="1">
      <c r="C402" s="117"/>
    </row>
    <row r="403" ht="14.25" customHeight="1">
      <c r="C403" s="117"/>
    </row>
    <row r="404" ht="14.25" customHeight="1">
      <c r="C404" s="117"/>
    </row>
    <row r="405" ht="14.25" customHeight="1">
      <c r="C405" s="117"/>
    </row>
    <row r="406" ht="14.25" customHeight="1">
      <c r="C406" s="117"/>
    </row>
    <row r="407" ht="14.25" customHeight="1">
      <c r="C407" s="117"/>
    </row>
    <row r="408" ht="14.25" customHeight="1">
      <c r="C408" s="117"/>
    </row>
    <row r="409" ht="14.25" customHeight="1">
      <c r="C409" s="117"/>
    </row>
    <row r="410" ht="14.25" customHeight="1">
      <c r="C410" s="117"/>
    </row>
    <row r="411" ht="14.25" customHeight="1">
      <c r="C411" s="117"/>
    </row>
    <row r="412" ht="14.25" customHeight="1">
      <c r="C412" s="117"/>
    </row>
    <row r="413" ht="14.25" customHeight="1">
      <c r="C413" s="117"/>
    </row>
    <row r="414" ht="14.25" customHeight="1">
      <c r="C414" s="117"/>
    </row>
    <row r="415" ht="14.25" customHeight="1">
      <c r="C415" s="117"/>
    </row>
    <row r="416" ht="14.25" customHeight="1">
      <c r="C416" s="117"/>
    </row>
    <row r="417" ht="14.25" customHeight="1">
      <c r="C417" s="117"/>
    </row>
    <row r="418" ht="14.25" customHeight="1">
      <c r="C418" s="117"/>
    </row>
    <row r="419" ht="14.25" customHeight="1">
      <c r="C419" s="117"/>
    </row>
    <row r="420" ht="14.25" customHeight="1">
      <c r="C420" s="117"/>
    </row>
    <row r="421" ht="14.25" customHeight="1">
      <c r="C421" s="117"/>
    </row>
    <row r="422" ht="14.25" customHeight="1">
      <c r="C422" s="117"/>
    </row>
    <row r="423" ht="14.25" customHeight="1">
      <c r="C423" s="117"/>
    </row>
    <row r="424" ht="14.25" customHeight="1">
      <c r="C424" s="117"/>
    </row>
    <row r="425" ht="14.25" customHeight="1">
      <c r="C425" s="117"/>
    </row>
    <row r="426" ht="14.25" customHeight="1">
      <c r="C426" s="117"/>
    </row>
    <row r="427" ht="14.25" customHeight="1">
      <c r="C427" s="117"/>
    </row>
    <row r="428" ht="14.25" customHeight="1">
      <c r="C428" s="117"/>
    </row>
    <row r="429" ht="14.25" customHeight="1">
      <c r="C429" s="117"/>
    </row>
    <row r="430" ht="14.25" customHeight="1">
      <c r="C430" s="117"/>
    </row>
    <row r="431" ht="14.25" customHeight="1">
      <c r="C431" s="117"/>
    </row>
    <row r="432" ht="14.25" customHeight="1">
      <c r="C432" s="117"/>
    </row>
    <row r="433" ht="14.25" customHeight="1">
      <c r="C433" s="117"/>
    </row>
    <row r="434" ht="14.25" customHeight="1">
      <c r="C434" s="117"/>
    </row>
    <row r="435" ht="14.25" customHeight="1">
      <c r="C435" s="117"/>
    </row>
    <row r="436" ht="14.25" customHeight="1">
      <c r="C436" s="117"/>
    </row>
    <row r="437" ht="14.25" customHeight="1">
      <c r="C437" s="117"/>
    </row>
    <row r="438" ht="14.25" customHeight="1">
      <c r="C438" s="117"/>
    </row>
    <row r="439" ht="14.25" customHeight="1">
      <c r="C439" s="117"/>
    </row>
    <row r="440" ht="14.25" customHeight="1">
      <c r="C440" s="117"/>
    </row>
    <row r="441" ht="14.25" customHeight="1">
      <c r="C441" s="117"/>
    </row>
    <row r="442" ht="14.25" customHeight="1">
      <c r="C442" s="117"/>
    </row>
    <row r="443" ht="14.25" customHeight="1">
      <c r="C443" s="117"/>
    </row>
    <row r="444" ht="14.25" customHeight="1">
      <c r="C444" s="117"/>
    </row>
    <row r="445" ht="14.25" customHeight="1">
      <c r="C445" s="117"/>
    </row>
    <row r="446" ht="14.25" customHeight="1">
      <c r="C446" s="117"/>
    </row>
    <row r="447" ht="14.25" customHeight="1">
      <c r="C447" s="117"/>
    </row>
    <row r="448" ht="14.25" customHeight="1">
      <c r="C448" s="117"/>
    </row>
    <row r="449" ht="14.25" customHeight="1">
      <c r="C449" s="117"/>
    </row>
    <row r="450" ht="14.25" customHeight="1">
      <c r="C450" s="117"/>
    </row>
    <row r="451" ht="14.25" customHeight="1">
      <c r="C451" s="117"/>
    </row>
    <row r="452" ht="14.25" customHeight="1">
      <c r="C452" s="117"/>
    </row>
    <row r="453" ht="14.25" customHeight="1">
      <c r="C453" s="117"/>
    </row>
    <row r="454" ht="14.25" customHeight="1">
      <c r="C454" s="117"/>
    </row>
    <row r="455" ht="14.25" customHeight="1">
      <c r="C455" s="117"/>
    </row>
    <row r="456" ht="14.25" customHeight="1">
      <c r="C456" s="117"/>
    </row>
    <row r="457" ht="14.25" customHeight="1">
      <c r="C457" s="117"/>
    </row>
    <row r="458" ht="14.25" customHeight="1">
      <c r="C458" s="117"/>
    </row>
    <row r="459" ht="14.25" customHeight="1">
      <c r="C459" s="117"/>
    </row>
    <row r="460" ht="14.25" customHeight="1">
      <c r="C460" s="117"/>
    </row>
    <row r="461" ht="14.25" customHeight="1">
      <c r="C461" s="117"/>
    </row>
    <row r="462" ht="14.25" customHeight="1">
      <c r="C462" s="117"/>
    </row>
    <row r="463" ht="14.25" customHeight="1">
      <c r="C463" s="117"/>
    </row>
    <row r="464" ht="14.25" customHeight="1">
      <c r="C464" s="117"/>
    </row>
    <row r="465" ht="14.25" customHeight="1">
      <c r="C465" s="117"/>
    </row>
    <row r="466" ht="14.25" customHeight="1">
      <c r="C466" s="117"/>
    </row>
    <row r="467" ht="14.25" customHeight="1">
      <c r="C467" s="117"/>
    </row>
    <row r="468" ht="14.25" customHeight="1">
      <c r="C468" s="117"/>
    </row>
    <row r="469" ht="14.25" customHeight="1">
      <c r="C469" s="117"/>
    </row>
    <row r="470" ht="14.25" customHeight="1">
      <c r="C470" s="117"/>
    </row>
    <row r="471" ht="14.25" customHeight="1">
      <c r="C471" s="117"/>
    </row>
    <row r="472" ht="14.25" customHeight="1">
      <c r="C472" s="117"/>
    </row>
    <row r="473" ht="14.25" customHeight="1">
      <c r="C473" s="117"/>
    </row>
    <row r="474" ht="14.25" customHeight="1">
      <c r="C474" s="117"/>
    </row>
    <row r="475" ht="14.25" customHeight="1">
      <c r="C475" s="117"/>
    </row>
    <row r="476" ht="14.25" customHeight="1">
      <c r="C476" s="117"/>
    </row>
    <row r="477" ht="14.25" customHeight="1">
      <c r="C477" s="117"/>
    </row>
    <row r="478" ht="14.25" customHeight="1">
      <c r="C478" s="117"/>
    </row>
    <row r="479" ht="14.25" customHeight="1">
      <c r="C479" s="117"/>
    </row>
    <row r="480" ht="14.25" customHeight="1">
      <c r="C480" s="117"/>
    </row>
    <row r="481" ht="14.25" customHeight="1">
      <c r="C481" s="117"/>
    </row>
    <row r="482" ht="14.25" customHeight="1">
      <c r="C482" s="117"/>
    </row>
    <row r="483" ht="14.25" customHeight="1">
      <c r="C483" s="117"/>
    </row>
    <row r="484" ht="14.25" customHeight="1">
      <c r="C484" s="117"/>
    </row>
    <row r="485" ht="14.25" customHeight="1">
      <c r="C485" s="117"/>
    </row>
    <row r="486" ht="14.25" customHeight="1">
      <c r="C486" s="117"/>
    </row>
    <row r="487" ht="14.25" customHeight="1">
      <c r="C487" s="117"/>
    </row>
    <row r="488" ht="14.25" customHeight="1">
      <c r="C488" s="117"/>
    </row>
    <row r="489" ht="14.25" customHeight="1">
      <c r="C489" s="117"/>
    </row>
    <row r="490" ht="14.25" customHeight="1">
      <c r="C490" s="117"/>
    </row>
    <row r="491" ht="14.25" customHeight="1">
      <c r="C491" s="117"/>
    </row>
    <row r="492" ht="14.25" customHeight="1">
      <c r="C492" s="117"/>
    </row>
    <row r="493" ht="14.25" customHeight="1">
      <c r="C493" s="117"/>
    </row>
    <row r="494" ht="14.25" customHeight="1">
      <c r="C494" s="117"/>
    </row>
    <row r="495" ht="14.25" customHeight="1">
      <c r="C495" s="117"/>
    </row>
    <row r="496" ht="14.25" customHeight="1">
      <c r="C496" s="117"/>
    </row>
    <row r="497" ht="14.25" customHeight="1">
      <c r="C497" s="117"/>
    </row>
    <row r="498" ht="14.25" customHeight="1">
      <c r="C498" s="117"/>
    </row>
    <row r="499" ht="14.25" customHeight="1">
      <c r="C499" s="117"/>
    </row>
    <row r="500" ht="14.25" customHeight="1">
      <c r="C500" s="117"/>
    </row>
    <row r="501" ht="14.25" customHeight="1">
      <c r="C501" s="117"/>
    </row>
    <row r="502" ht="14.25" customHeight="1">
      <c r="C502" s="117"/>
    </row>
    <row r="503" ht="14.25" customHeight="1">
      <c r="C503" s="117"/>
    </row>
    <row r="504" ht="14.25" customHeight="1">
      <c r="C504" s="117"/>
    </row>
    <row r="505" ht="14.25" customHeight="1">
      <c r="C505" s="117"/>
    </row>
    <row r="506" ht="14.25" customHeight="1">
      <c r="C506" s="117"/>
    </row>
    <row r="507" ht="14.25" customHeight="1">
      <c r="C507" s="117"/>
    </row>
    <row r="508" ht="14.25" customHeight="1">
      <c r="C508" s="117"/>
    </row>
    <row r="509" ht="14.25" customHeight="1">
      <c r="C509" s="117"/>
    </row>
    <row r="510" ht="14.25" customHeight="1">
      <c r="C510" s="117"/>
    </row>
    <row r="511" ht="14.25" customHeight="1">
      <c r="C511" s="117"/>
    </row>
    <row r="512" ht="14.25" customHeight="1">
      <c r="C512" s="117"/>
    </row>
    <row r="513" ht="14.25" customHeight="1">
      <c r="C513" s="117"/>
    </row>
    <row r="514" ht="14.25" customHeight="1">
      <c r="C514" s="117"/>
    </row>
    <row r="515" ht="14.25" customHeight="1">
      <c r="C515" s="117"/>
    </row>
    <row r="516" ht="14.25" customHeight="1">
      <c r="C516" s="117"/>
    </row>
    <row r="517" ht="14.25" customHeight="1">
      <c r="C517" s="117"/>
    </row>
    <row r="518" ht="14.25" customHeight="1">
      <c r="C518" s="117"/>
    </row>
    <row r="519" ht="14.25" customHeight="1">
      <c r="C519" s="117"/>
    </row>
    <row r="520" ht="14.25" customHeight="1">
      <c r="C520" s="117"/>
    </row>
    <row r="521" ht="14.25" customHeight="1">
      <c r="C521" s="117"/>
    </row>
    <row r="522" ht="14.25" customHeight="1">
      <c r="C522" s="117"/>
    </row>
    <row r="523" ht="14.25" customHeight="1">
      <c r="C523" s="117"/>
    </row>
    <row r="524" ht="14.25" customHeight="1">
      <c r="C524" s="117"/>
    </row>
    <row r="525" ht="14.25" customHeight="1">
      <c r="C525" s="117"/>
    </row>
    <row r="526" ht="14.25" customHeight="1">
      <c r="C526" s="117"/>
    </row>
    <row r="527" ht="14.25" customHeight="1">
      <c r="C527" s="117"/>
    </row>
    <row r="528" ht="14.25" customHeight="1">
      <c r="C528" s="117"/>
    </row>
    <row r="529" ht="14.25" customHeight="1">
      <c r="C529" s="117"/>
    </row>
    <row r="530" ht="14.25" customHeight="1">
      <c r="C530" s="117"/>
    </row>
    <row r="531" ht="14.25" customHeight="1">
      <c r="C531" s="117"/>
    </row>
    <row r="532" ht="14.25" customHeight="1">
      <c r="C532" s="117"/>
    </row>
    <row r="533" ht="14.25" customHeight="1">
      <c r="C533" s="117"/>
    </row>
    <row r="534" ht="14.25" customHeight="1">
      <c r="C534" s="117"/>
    </row>
    <row r="535" ht="14.25" customHeight="1">
      <c r="C535" s="117"/>
    </row>
    <row r="536" ht="14.25" customHeight="1">
      <c r="C536" s="117"/>
    </row>
    <row r="537" ht="14.25" customHeight="1">
      <c r="C537" s="117"/>
    </row>
    <row r="538" ht="14.25" customHeight="1">
      <c r="C538" s="117"/>
    </row>
    <row r="539" ht="14.25" customHeight="1">
      <c r="C539" s="117"/>
    </row>
    <row r="540" ht="14.25" customHeight="1">
      <c r="C540" s="117"/>
    </row>
    <row r="541" ht="14.25" customHeight="1">
      <c r="C541" s="117"/>
    </row>
    <row r="542" ht="14.25" customHeight="1">
      <c r="C542" s="117"/>
    </row>
    <row r="543" ht="14.25" customHeight="1">
      <c r="C543" s="117"/>
    </row>
    <row r="544" ht="14.25" customHeight="1">
      <c r="C544" s="117"/>
    </row>
    <row r="545" ht="14.25" customHeight="1">
      <c r="C545" s="117"/>
    </row>
    <row r="546" ht="14.25" customHeight="1">
      <c r="C546" s="117"/>
    </row>
    <row r="547" ht="14.25" customHeight="1">
      <c r="C547" s="117"/>
    </row>
    <row r="548" ht="14.25" customHeight="1">
      <c r="C548" s="117"/>
    </row>
    <row r="549" ht="14.25" customHeight="1">
      <c r="C549" s="117"/>
    </row>
    <row r="550" ht="14.25" customHeight="1">
      <c r="C550" s="117"/>
    </row>
    <row r="551" ht="14.25" customHeight="1">
      <c r="C551" s="117"/>
    </row>
    <row r="552" ht="14.25" customHeight="1">
      <c r="C552" s="117"/>
    </row>
    <row r="553" ht="14.25" customHeight="1">
      <c r="C553" s="117"/>
    </row>
    <row r="554" ht="14.25" customHeight="1">
      <c r="C554" s="117"/>
    </row>
    <row r="555" ht="14.25" customHeight="1">
      <c r="C555" s="117"/>
    </row>
    <row r="556" ht="14.25" customHeight="1">
      <c r="C556" s="117"/>
    </row>
    <row r="557" ht="14.25" customHeight="1">
      <c r="C557" s="117"/>
    </row>
    <row r="558" ht="14.25" customHeight="1">
      <c r="C558" s="117"/>
    </row>
    <row r="559" ht="14.25" customHeight="1">
      <c r="C559" s="117"/>
    </row>
    <row r="560" ht="14.25" customHeight="1">
      <c r="C560" s="117"/>
    </row>
    <row r="561" ht="14.25" customHeight="1">
      <c r="C561" s="117"/>
    </row>
    <row r="562" ht="14.25" customHeight="1">
      <c r="C562" s="117"/>
    </row>
    <row r="563" ht="14.25" customHeight="1">
      <c r="C563" s="117"/>
    </row>
    <row r="564" ht="14.25" customHeight="1">
      <c r="C564" s="117"/>
    </row>
    <row r="565" ht="14.25" customHeight="1">
      <c r="C565" s="117"/>
    </row>
    <row r="566" ht="14.25" customHeight="1">
      <c r="C566" s="117"/>
    </row>
    <row r="567" ht="14.25" customHeight="1">
      <c r="C567" s="117"/>
    </row>
    <row r="568" ht="14.25" customHeight="1">
      <c r="C568" s="117"/>
    </row>
    <row r="569" ht="14.25" customHeight="1">
      <c r="C569" s="117"/>
    </row>
    <row r="570" ht="14.25" customHeight="1">
      <c r="C570" s="117"/>
    </row>
    <row r="571" ht="14.25" customHeight="1">
      <c r="C571" s="117"/>
    </row>
    <row r="572" ht="14.25" customHeight="1">
      <c r="C572" s="117"/>
    </row>
    <row r="573" ht="14.25" customHeight="1">
      <c r="C573" s="117"/>
    </row>
    <row r="574" ht="14.25" customHeight="1">
      <c r="C574" s="117"/>
    </row>
    <row r="575" ht="14.25" customHeight="1">
      <c r="C575" s="117"/>
    </row>
    <row r="576" ht="14.25" customHeight="1">
      <c r="C576" s="117"/>
    </row>
    <row r="577" ht="14.25" customHeight="1">
      <c r="C577" s="117"/>
    </row>
    <row r="578" ht="14.25" customHeight="1">
      <c r="C578" s="117"/>
    </row>
    <row r="579" ht="14.25" customHeight="1">
      <c r="C579" s="117"/>
    </row>
    <row r="580" ht="14.25" customHeight="1">
      <c r="C580" s="117"/>
    </row>
    <row r="581" ht="14.25" customHeight="1">
      <c r="C581" s="117"/>
    </row>
    <row r="582" ht="14.25" customHeight="1">
      <c r="C582" s="117"/>
    </row>
    <row r="583" ht="14.25" customHeight="1">
      <c r="C583" s="117"/>
    </row>
    <row r="584" ht="14.25" customHeight="1">
      <c r="C584" s="117"/>
    </row>
    <row r="585" ht="14.25" customHeight="1">
      <c r="C585" s="117"/>
    </row>
    <row r="586" ht="14.25" customHeight="1">
      <c r="C586" s="117"/>
    </row>
    <row r="587" ht="14.25" customHeight="1">
      <c r="C587" s="117"/>
    </row>
    <row r="588" ht="14.25" customHeight="1">
      <c r="C588" s="117"/>
    </row>
    <row r="589" ht="14.25" customHeight="1">
      <c r="C589" s="117"/>
    </row>
    <row r="590" ht="14.25" customHeight="1">
      <c r="C590" s="117"/>
    </row>
    <row r="591" ht="14.25" customHeight="1">
      <c r="C591" s="117"/>
    </row>
    <row r="592" ht="14.25" customHeight="1">
      <c r="C592" s="117"/>
    </row>
    <row r="593" ht="14.25" customHeight="1">
      <c r="C593" s="117"/>
    </row>
    <row r="594" ht="14.25" customHeight="1">
      <c r="C594" s="117"/>
    </row>
    <row r="595" ht="14.25" customHeight="1">
      <c r="C595" s="117"/>
    </row>
    <row r="596" ht="14.25" customHeight="1">
      <c r="C596" s="117"/>
    </row>
    <row r="597" ht="14.25" customHeight="1">
      <c r="C597" s="117"/>
    </row>
    <row r="598" ht="14.25" customHeight="1">
      <c r="C598" s="117"/>
    </row>
    <row r="599" ht="14.25" customHeight="1">
      <c r="C599" s="117"/>
    </row>
    <row r="600" ht="14.25" customHeight="1">
      <c r="C600" s="117"/>
    </row>
    <row r="601" ht="14.25" customHeight="1">
      <c r="C601" s="117"/>
    </row>
    <row r="602" ht="14.25" customHeight="1">
      <c r="C602" s="117"/>
    </row>
    <row r="603" ht="14.25" customHeight="1">
      <c r="C603" s="117"/>
    </row>
    <row r="604" ht="14.25" customHeight="1">
      <c r="C604" s="117"/>
    </row>
    <row r="605" ht="14.25" customHeight="1">
      <c r="C605" s="117"/>
    </row>
    <row r="606" ht="14.25" customHeight="1">
      <c r="C606" s="117"/>
    </row>
    <row r="607" ht="14.25" customHeight="1">
      <c r="C607" s="117"/>
    </row>
    <row r="608" ht="14.25" customHeight="1">
      <c r="C608" s="117"/>
    </row>
    <row r="609" ht="14.25" customHeight="1">
      <c r="C609" s="117"/>
    </row>
    <row r="610" ht="14.25" customHeight="1">
      <c r="C610" s="117"/>
    </row>
    <row r="611" ht="14.25" customHeight="1">
      <c r="C611" s="117"/>
    </row>
    <row r="612" ht="14.25" customHeight="1">
      <c r="C612" s="117"/>
    </row>
    <row r="613" ht="14.25" customHeight="1">
      <c r="C613" s="117"/>
    </row>
    <row r="614" ht="14.25" customHeight="1">
      <c r="C614" s="117"/>
    </row>
    <row r="615" ht="14.25" customHeight="1">
      <c r="C615" s="117"/>
    </row>
    <row r="616" ht="14.25" customHeight="1">
      <c r="C616" s="117"/>
    </row>
    <row r="617" ht="14.25" customHeight="1">
      <c r="C617" s="117"/>
    </row>
    <row r="618" ht="14.25" customHeight="1">
      <c r="C618" s="117"/>
    </row>
    <row r="619" ht="14.25" customHeight="1">
      <c r="C619" s="117"/>
    </row>
    <row r="620" ht="14.25" customHeight="1">
      <c r="C620" s="117"/>
    </row>
    <row r="621" ht="14.25" customHeight="1">
      <c r="C621" s="117"/>
    </row>
    <row r="622" ht="14.25" customHeight="1">
      <c r="C622" s="117"/>
    </row>
    <row r="623" ht="14.25" customHeight="1">
      <c r="C623" s="117"/>
    </row>
    <row r="624" ht="14.25" customHeight="1">
      <c r="C624" s="117"/>
    </row>
    <row r="625" ht="14.25" customHeight="1">
      <c r="C625" s="117"/>
    </row>
    <row r="626" ht="14.25" customHeight="1">
      <c r="C626" s="117"/>
    </row>
    <row r="627" ht="14.25" customHeight="1">
      <c r="C627" s="117"/>
    </row>
    <row r="628" ht="14.25" customHeight="1">
      <c r="C628" s="117"/>
    </row>
    <row r="629" ht="14.25" customHeight="1">
      <c r="C629" s="117"/>
    </row>
    <row r="630" ht="14.25" customHeight="1">
      <c r="C630" s="117"/>
    </row>
    <row r="631" ht="14.25" customHeight="1">
      <c r="C631" s="117"/>
    </row>
    <row r="632" ht="14.25" customHeight="1">
      <c r="C632" s="117"/>
    </row>
    <row r="633" ht="14.25" customHeight="1">
      <c r="C633" s="117"/>
    </row>
    <row r="634" ht="14.25" customHeight="1">
      <c r="C634" s="117"/>
    </row>
    <row r="635" ht="14.25" customHeight="1">
      <c r="C635" s="117"/>
    </row>
    <row r="636" ht="14.25" customHeight="1">
      <c r="C636" s="117"/>
    </row>
    <row r="637" ht="14.25" customHeight="1">
      <c r="C637" s="117"/>
    </row>
    <row r="638" ht="14.25" customHeight="1">
      <c r="C638" s="117"/>
    </row>
    <row r="639" ht="14.25" customHeight="1">
      <c r="C639" s="117"/>
    </row>
    <row r="640" ht="14.25" customHeight="1">
      <c r="C640" s="117"/>
    </row>
    <row r="641" ht="14.25" customHeight="1">
      <c r="C641" s="117"/>
    </row>
    <row r="642" ht="14.25" customHeight="1">
      <c r="C642" s="117"/>
    </row>
    <row r="643" ht="14.25" customHeight="1">
      <c r="C643" s="117"/>
    </row>
    <row r="644" ht="14.25" customHeight="1">
      <c r="C644" s="117"/>
    </row>
    <row r="645" ht="14.25" customHeight="1">
      <c r="C645" s="117"/>
    </row>
    <row r="646" ht="14.25" customHeight="1">
      <c r="C646" s="117"/>
    </row>
    <row r="647" ht="14.25" customHeight="1">
      <c r="C647" s="117"/>
    </row>
    <row r="648" ht="14.25" customHeight="1">
      <c r="C648" s="117"/>
    </row>
    <row r="649" ht="14.25" customHeight="1">
      <c r="C649" s="117"/>
    </row>
    <row r="650" ht="14.25" customHeight="1">
      <c r="C650" s="117"/>
    </row>
    <row r="651" ht="14.25" customHeight="1">
      <c r="C651" s="117"/>
    </row>
    <row r="652" ht="14.25" customHeight="1">
      <c r="C652" s="117"/>
    </row>
    <row r="653" ht="14.25" customHeight="1">
      <c r="C653" s="117"/>
    </row>
    <row r="654" ht="14.25" customHeight="1">
      <c r="C654" s="117"/>
    </row>
    <row r="655" ht="14.25" customHeight="1">
      <c r="C655" s="117"/>
    </row>
    <row r="656" ht="14.25" customHeight="1">
      <c r="C656" s="117"/>
    </row>
    <row r="657" ht="14.25" customHeight="1">
      <c r="C657" s="117"/>
    </row>
    <row r="658" ht="14.25" customHeight="1">
      <c r="C658" s="117"/>
    </row>
    <row r="659" ht="14.25" customHeight="1">
      <c r="C659" s="117"/>
    </row>
    <row r="660" ht="14.25" customHeight="1">
      <c r="C660" s="117"/>
    </row>
    <row r="661" ht="14.25" customHeight="1">
      <c r="C661" s="117"/>
    </row>
    <row r="662" ht="14.25" customHeight="1">
      <c r="C662" s="117"/>
    </row>
    <row r="663" ht="14.25" customHeight="1">
      <c r="C663" s="117"/>
    </row>
    <row r="664" ht="14.25" customHeight="1">
      <c r="C664" s="117"/>
    </row>
    <row r="665" ht="14.25" customHeight="1">
      <c r="C665" s="117"/>
    </row>
    <row r="666" ht="14.25" customHeight="1">
      <c r="C666" s="117"/>
    </row>
    <row r="667" ht="14.25" customHeight="1">
      <c r="C667" s="117"/>
    </row>
    <row r="668" ht="14.25" customHeight="1">
      <c r="C668" s="117"/>
    </row>
    <row r="669" ht="14.25" customHeight="1">
      <c r="C669" s="117"/>
    </row>
    <row r="670" ht="14.25" customHeight="1">
      <c r="C670" s="117"/>
    </row>
    <row r="671" ht="14.25" customHeight="1">
      <c r="C671" s="117"/>
    </row>
    <row r="672" ht="14.25" customHeight="1">
      <c r="C672" s="117"/>
    </row>
    <row r="673" ht="14.25" customHeight="1">
      <c r="C673" s="117"/>
    </row>
    <row r="674" ht="14.25" customHeight="1">
      <c r="C674" s="117"/>
    </row>
    <row r="675" ht="14.25" customHeight="1">
      <c r="C675" s="117"/>
    </row>
    <row r="676" ht="14.25" customHeight="1">
      <c r="C676" s="117"/>
    </row>
    <row r="677" ht="14.25" customHeight="1">
      <c r="C677" s="117"/>
    </row>
    <row r="678" ht="14.25" customHeight="1">
      <c r="C678" s="117"/>
    </row>
    <row r="679" ht="14.25" customHeight="1">
      <c r="C679" s="117"/>
    </row>
    <row r="680" ht="14.25" customHeight="1">
      <c r="C680" s="117"/>
    </row>
    <row r="681" ht="14.25" customHeight="1">
      <c r="C681" s="117"/>
    </row>
    <row r="682" ht="14.25" customHeight="1">
      <c r="C682" s="117"/>
    </row>
    <row r="683" ht="14.25" customHeight="1">
      <c r="C683" s="117"/>
    </row>
    <row r="684" ht="14.25" customHeight="1">
      <c r="C684" s="117"/>
    </row>
    <row r="685" ht="14.25" customHeight="1">
      <c r="C685" s="117"/>
    </row>
    <row r="686" ht="14.25" customHeight="1">
      <c r="C686" s="117"/>
    </row>
    <row r="687" ht="14.25" customHeight="1">
      <c r="C687" s="117"/>
    </row>
    <row r="688" ht="14.25" customHeight="1">
      <c r="C688" s="117"/>
    </row>
    <row r="689" ht="14.25" customHeight="1">
      <c r="C689" s="117"/>
    </row>
    <row r="690" ht="14.25" customHeight="1">
      <c r="C690" s="117"/>
    </row>
    <row r="691" ht="14.25" customHeight="1">
      <c r="C691" s="117"/>
    </row>
    <row r="692" ht="14.25" customHeight="1">
      <c r="C692" s="117"/>
    </row>
    <row r="693" ht="14.25" customHeight="1">
      <c r="C693" s="117"/>
    </row>
    <row r="694" ht="14.25" customHeight="1">
      <c r="C694" s="117"/>
    </row>
    <row r="695" ht="14.25" customHeight="1">
      <c r="C695" s="117"/>
    </row>
    <row r="696" ht="14.25" customHeight="1">
      <c r="C696" s="117"/>
    </row>
    <row r="697" ht="14.25" customHeight="1">
      <c r="C697" s="117"/>
    </row>
    <row r="698" ht="14.25" customHeight="1">
      <c r="C698" s="117"/>
    </row>
    <row r="699" ht="14.25" customHeight="1">
      <c r="C699" s="117"/>
    </row>
    <row r="700" ht="14.25" customHeight="1">
      <c r="C700" s="117"/>
    </row>
    <row r="701" ht="14.25" customHeight="1">
      <c r="C701" s="117"/>
    </row>
    <row r="702" ht="14.25" customHeight="1">
      <c r="C702" s="117"/>
    </row>
    <row r="703" ht="14.25" customHeight="1">
      <c r="C703" s="117"/>
    </row>
    <row r="704" ht="14.25" customHeight="1">
      <c r="C704" s="117"/>
    </row>
    <row r="705" ht="14.25" customHeight="1">
      <c r="C705" s="117"/>
    </row>
    <row r="706" ht="14.25" customHeight="1">
      <c r="C706" s="117"/>
    </row>
    <row r="707" ht="14.25" customHeight="1">
      <c r="C707" s="117"/>
    </row>
    <row r="708" ht="14.25" customHeight="1">
      <c r="C708" s="117"/>
    </row>
    <row r="709" ht="14.25" customHeight="1">
      <c r="C709" s="117"/>
    </row>
    <row r="710" ht="14.25" customHeight="1">
      <c r="C710" s="117"/>
    </row>
    <row r="711" ht="14.25" customHeight="1">
      <c r="C711" s="117"/>
    </row>
    <row r="712" ht="14.25" customHeight="1">
      <c r="C712" s="117"/>
    </row>
    <row r="713" ht="14.25" customHeight="1">
      <c r="C713" s="117"/>
    </row>
    <row r="714" ht="14.25" customHeight="1">
      <c r="C714" s="117"/>
    </row>
    <row r="715" ht="14.25" customHeight="1">
      <c r="C715" s="117"/>
    </row>
    <row r="716" ht="14.25" customHeight="1">
      <c r="C716" s="117"/>
    </row>
    <row r="717" ht="14.25" customHeight="1">
      <c r="C717" s="117"/>
    </row>
    <row r="718" ht="14.25" customHeight="1">
      <c r="C718" s="117"/>
    </row>
    <row r="719" ht="14.25" customHeight="1">
      <c r="C719" s="117"/>
    </row>
    <row r="720" ht="14.25" customHeight="1">
      <c r="C720" s="117"/>
    </row>
    <row r="721" ht="14.25" customHeight="1">
      <c r="C721" s="117"/>
    </row>
    <row r="722" ht="14.25" customHeight="1">
      <c r="C722" s="117"/>
    </row>
    <row r="723" ht="14.25" customHeight="1">
      <c r="C723" s="117"/>
    </row>
    <row r="724" ht="14.25" customHeight="1">
      <c r="C724" s="117"/>
    </row>
    <row r="725" ht="14.25" customHeight="1">
      <c r="C725" s="117"/>
    </row>
    <row r="726" ht="14.25" customHeight="1">
      <c r="C726" s="117"/>
    </row>
    <row r="727" ht="14.25" customHeight="1">
      <c r="C727" s="117"/>
    </row>
    <row r="728" ht="14.25" customHeight="1">
      <c r="C728" s="117"/>
    </row>
    <row r="729" ht="14.25" customHeight="1">
      <c r="C729" s="117"/>
    </row>
    <row r="730" ht="14.25" customHeight="1">
      <c r="C730" s="117"/>
    </row>
    <row r="731" ht="14.25" customHeight="1">
      <c r="C731" s="117"/>
    </row>
    <row r="732" ht="14.25" customHeight="1">
      <c r="C732" s="117"/>
    </row>
    <row r="733" ht="14.25" customHeight="1">
      <c r="C733" s="117"/>
    </row>
    <row r="734" ht="14.25" customHeight="1">
      <c r="C734" s="117"/>
    </row>
    <row r="735" ht="14.25" customHeight="1">
      <c r="C735" s="117"/>
    </row>
    <row r="736" ht="14.25" customHeight="1">
      <c r="C736" s="117"/>
    </row>
    <row r="737" ht="14.25" customHeight="1">
      <c r="C737" s="117"/>
    </row>
    <row r="738" ht="14.25" customHeight="1">
      <c r="C738" s="117"/>
    </row>
    <row r="739" ht="14.25" customHeight="1">
      <c r="C739" s="117"/>
    </row>
    <row r="740" ht="14.25" customHeight="1">
      <c r="C740" s="117"/>
    </row>
    <row r="741" ht="14.25" customHeight="1">
      <c r="C741" s="117"/>
    </row>
    <row r="742" ht="14.25" customHeight="1">
      <c r="C742" s="117"/>
    </row>
    <row r="743" ht="14.25" customHeight="1">
      <c r="C743" s="117"/>
    </row>
    <row r="744" ht="14.25" customHeight="1">
      <c r="C744" s="117"/>
    </row>
    <row r="745" ht="14.25" customHeight="1">
      <c r="C745" s="117"/>
    </row>
    <row r="746" ht="14.25" customHeight="1">
      <c r="C746" s="117"/>
    </row>
    <row r="747" ht="14.25" customHeight="1">
      <c r="C747" s="117"/>
    </row>
    <row r="748" ht="14.25" customHeight="1">
      <c r="C748" s="117"/>
    </row>
    <row r="749" ht="14.25" customHeight="1">
      <c r="C749" s="117"/>
    </row>
    <row r="750" ht="14.25" customHeight="1">
      <c r="C750" s="117"/>
    </row>
    <row r="751" ht="14.25" customHeight="1">
      <c r="C751" s="117"/>
    </row>
    <row r="752" ht="14.25" customHeight="1">
      <c r="C752" s="117"/>
    </row>
    <row r="753" ht="14.25" customHeight="1">
      <c r="C753" s="117"/>
    </row>
    <row r="754" ht="14.25" customHeight="1">
      <c r="C754" s="117"/>
    </row>
    <row r="755" ht="14.25" customHeight="1">
      <c r="C755" s="117"/>
    </row>
    <row r="756" ht="14.25" customHeight="1">
      <c r="C756" s="117"/>
    </row>
    <row r="757" ht="14.25" customHeight="1">
      <c r="C757" s="117"/>
    </row>
    <row r="758" ht="14.25" customHeight="1">
      <c r="C758" s="117"/>
    </row>
    <row r="759" ht="14.25" customHeight="1">
      <c r="C759" s="117"/>
    </row>
    <row r="760" ht="14.25" customHeight="1">
      <c r="C760" s="117"/>
    </row>
    <row r="761" ht="14.25" customHeight="1">
      <c r="C761" s="117"/>
    </row>
    <row r="762" ht="14.25" customHeight="1">
      <c r="C762" s="117"/>
    </row>
    <row r="763" ht="14.25" customHeight="1">
      <c r="C763" s="117"/>
    </row>
    <row r="764" ht="14.25" customHeight="1">
      <c r="C764" s="117"/>
    </row>
    <row r="765" ht="14.25" customHeight="1">
      <c r="C765" s="117"/>
    </row>
    <row r="766" ht="14.25" customHeight="1">
      <c r="C766" s="117"/>
    </row>
    <row r="767" ht="14.25" customHeight="1">
      <c r="C767" s="117"/>
    </row>
    <row r="768" ht="14.25" customHeight="1">
      <c r="C768" s="117"/>
    </row>
    <row r="769" ht="14.25" customHeight="1">
      <c r="C769" s="117"/>
    </row>
    <row r="770" ht="14.25" customHeight="1">
      <c r="C770" s="117"/>
    </row>
    <row r="771" ht="14.25" customHeight="1">
      <c r="C771" s="117"/>
    </row>
    <row r="772" ht="14.25" customHeight="1">
      <c r="C772" s="117"/>
    </row>
    <row r="773" ht="14.25" customHeight="1">
      <c r="C773" s="117"/>
    </row>
    <row r="774" ht="14.25" customHeight="1">
      <c r="C774" s="117"/>
    </row>
    <row r="775" ht="14.25" customHeight="1">
      <c r="C775" s="117"/>
    </row>
    <row r="776" ht="14.25" customHeight="1">
      <c r="C776" s="117"/>
    </row>
    <row r="777" ht="14.25" customHeight="1">
      <c r="C777" s="117"/>
    </row>
    <row r="778" ht="14.25" customHeight="1">
      <c r="C778" s="117"/>
    </row>
    <row r="779" ht="14.25" customHeight="1">
      <c r="C779" s="117"/>
    </row>
    <row r="780" ht="14.25" customHeight="1">
      <c r="C780" s="117"/>
    </row>
    <row r="781" ht="14.25" customHeight="1">
      <c r="C781" s="117"/>
    </row>
    <row r="782" ht="14.25" customHeight="1">
      <c r="C782" s="117"/>
    </row>
    <row r="783" ht="14.25" customHeight="1">
      <c r="C783" s="117"/>
    </row>
    <row r="784" ht="14.25" customHeight="1">
      <c r="C784" s="117"/>
    </row>
    <row r="785" ht="14.25" customHeight="1">
      <c r="C785" s="117"/>
    </row>
    <row r="786" ht="14.25" customHeight="1">
      <c r="C786" s="117"/>
    </row>
    <row r="787" ht="14.25" customHeight="1">
      <c r="C787" s="117"/>
    </row>
    <row r="788" ht="14.25" customHeight="1">
      <c r="C788" s="117"/>
    </row>
    <row r="789" ht="14.25" customHeight="1">
      <c r="C789" s="117"/>
    </row>
    <row r="790" ht="14.25" customHeight="1">
      <c r="C790" s="117"/>
    </row>
    <row r="791" ht="14.25" customHeight="1">
      <c r="C791" s="117"/>
    </row>
    <row r="792" ht="14.25" customHeight="1">
      <c r="C792" s="117"/>
    </row>
    <row r="793" ht="14.25" customHeight="1">
      <c r="C793" s="117"/>
    </row>
    <row r="794" ht="14.25" customHeight="1">
      <c r="C794" s="117"/>
    </row>
    <row r="795" ht="14.25" customHeight="1">
      <c r="C795" s="117"/>
    </row>
    <row r="796" ht="14.25" customHeight="1">
      <c r="C796" s="117"/>
    </row>
    <row r="797" ht="14.25" customHeight="1">
      <c r="C797" s="117"/>
    </row>
    <row r="798" ht="14.25" customHeight="1">
      <c r="C798" s="117"/>
    </row>
    <row r="799" ht="14.25" customHeight="1">
      <c r="C799" s="117"/>
    </row>
    <row r="800" ht="14.25" customHeight="1">
      <c r="C800" s="117"/>
    </row>
    <row r="801" ht="14.25" customHeight="1">
      <c r="C801" s="117"/>
    </row>
    <row r="802" ht="14.25" customHeight="1">
      <c r="C802" s="117"/>
    </row>
    <row r="803" ht="14.25" customHeight="1">
      <c r="C803" s="117"/>
    </row>
    <row r="804" ht="14.25" customHeight="1">
      <c r="C804" s="117"/>
    </row>
    <row r="805" ht="14.25" customHeight="1">
      <c r="C805" s="117"/>
    </row>
    <row r="806" ht="14.25" customHeight="1">
      <c r="C806" s="117"/>
    </row>
    <row r="807" ht="14.25" customHeight="1">
      <c r="C807" s="117"/>
    </row>
    <row r="808" ht="14.25" customHeight="1">
      <c r="C808" s="117"/>
    </row>
    <row r="809" ht="14.25" customHeight="1">
      <c r="C809" s="117"/>
    </row>
    <row r="810" ht="14.25" customHeight="1">
      <c r="C810" s="117"/>
    </row>
    <row r="811" ht="14.25" customHeight="1">
      <c r="C811" s="117"/>
    </row>
    <row r="812" ht="14.25" customHeight="1">
      <c r="C812" s="117"/>
    </row>
    <row r="813" ht="14.25" customHeight="1">
      <c r="C813" s="117"/>
    </row>
    <row r="814" ht="14.25" customHeight="1">
      <c r="C814" s="117"/>
    </row>
    <row r="815" ht="14.25" customHeight="1">
      <c r="C815" s="117"/>
    </row>
    <row r="816" ht="14.25" customHeight="1">
      <c r="C816" s="117"/>
    </row>
    <row r="817" ht="14.25" customHeight="1">
      <c r="C817" s="117"/>
    </row>
    <row r="818" ht="14.25" customHeight="1">
      <c r="C818" s="117"/>
    </row>
    <row r="819" ht="14.25" customHeight="1">
      <c r="C819" s="117"/>
    </row>
    <row r="820" ht="14.25" customHeight="1">
      <c r="C820" s="117"/>
    </row>
    <row r="821" ht="14.25" customHeight="1">
      <c r="C821" s="117"/>
    </row>
    <row r="822" ht="14.25" customHeight="1">
      <c r="C822" s="117"/>
    </row>
    <row r="823" ht="14.25" customHeight="1">
      <c r="C823" s="117"/>
    </row>
    <row r="824" ht="14.25" customHeight="1">
      <c r="C824" s="117"/>
    </row>
    <row r="825" ht="14.25" customHeight="1">
      <c r="C825" s="117"/>
    </row>
    <row r="826" ht="14.25" customHeight="1">
      <c r="C826" s="117"/>
    </row>
    <row r="827" ht="14.25" customHeight="1">
      <c r="C827" s="117"/>
    </row>
    <row r="828" ht="14.25" customHeight="1">
      <c r="C828" s="117"/>
    </row>
    <row r="829" ht="14.25" customHeight="1">
      <c r="C829" s="117"/>
    </row>
    <row r="830" ht="14.25" customHeight="1">
      <c r="C830" s="117"/>
    </row>
    <row r="831" ht="14.25" customHeight="1">
      <c r="C831" s="117"/>
    </row>
    <row r="832" ht="14.25" customHeight="1">
      <c r="C832" s="117"/>
    </row>
    <row r="833" ht="14.25" customHeight="1">
      <c r="C833" s="117"/>
    </row>
    <row r="834" ht="14.25" customHeight="1">
      <c r="C834" s="117"/>
    </row>
    <row r="835" ht="14.25" customHeight="1">
      <c r="C835" s="117"/>
    </row>
    <row r="836" ht="14.25" customHeight="1">
      <c r="C836" s="117"/>
    </row>
    <row r="837" ht="14.25" customHeight="1">
      <c r="C837" s="117"/>
    </row>
    <row r="838" ht="14.25" customHeight="1">
      <c r="C838" s="117"/>
    </row>
    <row r="839" ht="14.25" customHeight="1">
      <c r="C839" s="117"/>
    </row>
    <row r="840" ht="14.25" customHeight="1">
      <c r="C840" s="117"/>
    </row>
    <row r="841" ht="14.25" customHeight="1">
      <c r="C841" s="117"/>
    </row>
    <row r="842" ht="14.25" customHeight="1">
      <c r="C842" s="117"/>
    </row>
    <row r="843" ht="14.25" customHeight="1">
      <c r="C843" s="117"/>
    </row>
    <row r="844" ht="14.25" customHeight="1">
      <c r="C844" s="117"/>
    </row>
    <row r="845" ht="14.25" customHeight="1">
      <c r="C845" s="117"/>
    </row>
    <row r="846" ht="14.25" customHeight="1">
      <c r="C846" s="117"/>
    </row>
    <row r="847" ht="14.25" customHeight="1">
      <c r="C847" s="117"/>
    </row>
    <row r="848" ht="14.25" customHeight="1">
      <c r="C848" s="117"/>
    </row>
    <row r="849" ht="14.25" customHeight="1">
      <c r="C849" s="117"/>
    </row>
    <row r="850" ht="14.25" customHeight="1">
      <c r="C850" s="117"/>
    </row>
    <row r="851" ht="14.25" customHeight="1">
      <c r="C851" s="117"/>
    </row>
    <row r="852" ht="14.25" customHeight="1">
      <c r="C852" s="117"/>
    </row>
    <row r="853" ht="14.25" customHeight="1">
      <c r="C853" s="117"/>
    </row>
    <row r="854" ht="14.25" customHeight="1">
      <c r="C854" s="117"/>
    </row>
    <row r="855" ht="14.25" customHeight="1">
      <c r="C855" s="117"/>
    </row>
    <row r="856" ht="14.25" customHeight="1">
      <c r="C856" s="117"/>
    </row>
    <row r="857" ht="14.25" customHeight="1">
      <c r="C857" s="117"/>
    </row>
    <row r="858" ht="14.25" customHeight="1">
      <c r="C858" s="117"/>
    </row>
    <row r="859" ht="14.25" customHeight="1">
      <c r="C859" s="117"/>
    </row>
    <row r="860" ht="14.25" customHeight="1">
      <c r="C860" s="117"/>
    </row>
    <row r="861" ht="14.25" customHeight="1">
      <c r="C861" s="117"/>
    </row>
    <row r="862" ht="14.25" customHeight="1">
      <c r="C862" s="117"/>
    </row>
    <row r="863" ht="14.25" customHeight="1">
      <c r="C863" s="117"/>
    </row>
    <row r="864" ht="14.25" customHeight="1">
      <c r="C864" s="117"/>
    </row>
    <row r="865" ht="14.25" customHeight="1">
      <c r="C865" s="117"/>
    </row>
    <row r="866" ht="14.25" customHeight="1">
      <c r="C866" s="117"/>
    </row>
    <row r="867" ht="14.25" customHeight="1">
      <c r="C867" s="117"/>
    </row>
    <row r="868" ht="14.25" customHeight="1">
      <c r="C868" s="117"/>
    </row>
    <row r="869" ht="14.25" customHeight="1">
      <c r="C869" s="117"/>
    </row>
    <row r="870" ht="14.25" customHeight="1">
      <c r="C870" s="117"/>
    </row>
    <row r="871" ht="14.25" customHeight="1">
      <c r="C871" s="117"/>
    </row>
    <row r="872" ht="14.25" customHeight="1">
      <c r="C872" s="117"/>
    </row>
    <row r="873" ht="14.25" customHeight="1">
      <c r="C873" s="117"/>
    </row>
    <row r="874" ht="14.25" customHeight="1">
      <c r="C874" s="117"/>
    </row>
    <row r="875" ht="14.25" customHeight="1">
      <c r="C875" s="117"/>
    </row>
    <row r="876" ht="14.25" customHeight="1">
      <c r="C876" s="117"/>
    </row>
    <row r="877" ht="14.25" customHeight="1">
      <c r="C877" s="117"/>
    </row>
    <row r="878" ht="14.25" customHeight="1">
      <c r="C878" s="117"/>
    </row>
    <row r="879" ht="14.25" customHeight="1">
      <c r="C879" s="117"/>
    </row>
    <row r="880" ht="14.25" customHeight="1">
      <c r="C880" s="117"/>
    </row>
    <row r="881" ht="14.25" customHeight="1">
      <c r="C881" s="117"/>
    </row>
    <row r="882" ht="14.25" customHeight="1">
      <c r="C882" s="117"/>
    </row>
    <row r="883" ht="14.25" customHeight="1">
      <c r="C883" s="117"/>
    </row>
    <row r="884" ht="14.25" customHeight="1">
      <c r="C884" s="117"/>
    </row>
    <row r="885" ht="14.25" customHeight="1">
      <c r="C885" s="117"/>
    </row>
    <row r="886" ht="14.25" customHeight="1">
      <c r="C886" s="117"/>
    </row>
    <row r="887" ht="14.25" customHeight="1">
      <c r="C887" s="117"/>
    </row>
    <row r="888" ht="14.25" customHeight="1">
      <c r="C888" s="117"/>
    </row>
    <row r="889" ht="14.25" customHeight="1">
      <c r="C889" s="117"/>
    </row>
    <row r="890" ht="14.25" customHeight="1">
      <c r="C890" s="117"/>
    </row>
    <row r="891" ht="14.25" customHeight="1">
      <c r="C891" s="117"/>
    </row>
    <row r="892" ht="14.25" customHeight="1">
      <c r="C892" s="117"/>
    </row>
    <row r="893" ht="14.25" customHeight="1">
      <c r="C893" s="117"/>
    </row>
    <row r="894" ht="14.25" customHeight="1">
      <c r="C894" s="117"/>
    </row>
    <row r="895" ht="14.25" customHeight="1">
      <c r="C895" s="117"/>
    </row>
    <row r="896" ht="14.25" customHeight="1">
      <c r="C896" s="117"/>
    </row>
    <row r="897" ht="14.25" customHeight="1">
      <c r="C897" s="117"/>
    </row>
    <row r="898" ht="14.25" customHeight="1">
      <c r="C898" s="117"/>
    </row>
    <row r="899" ht="14.25" customHeight="1">
      <c r="C899" s="117"/>
    </row>
    <row r="900" ht="14.25" customHeight="1">
      <c r="C900" s="117"/>
    </row>
    <row r="901" ht="14.25" customHeight="1">
      <c r="C901" s="117"/>
    </row>
    <row r="902" ht="14.25" customHeight="1">
      <c r="C902" s="117"/>
    </row>
    <row r="903" ht="14.25" customHeight="1">
      <c r="C903" s="117"/>
    </row>
    <row r="904" ht="14.25" customHeight="1">
      <c r="C904" s="117"/>
    </row>
    <row r="905" ht="14.25" customHeight="1">
      <c r="C905" s="117"/>
    </row>
    <row r="906" ht="14.25" customHeight="1">
      <c r="C906" s="117"/>
    </row>
    <row r="907" ht="14.25" customHeight="1">
      <c r="C907" s="117"/>
    </row>
    <row r="908" ht="14.25" customHeight="1">
      <c r="C908" s="117"/>
    </row>
    <row r="909" ht="14.25" customHeight="1">
      <c r="C909" s="117"/>
    </row>
    <row r="910" ht="14.25" customHeight="1">
      <c r="C910" s="117"/>
    </row>
    <row r="911" ht="14.25" customHeight="1">
      <c r="C911" s="117"/>
    </row>
    <row r="912" ht="14.25" customHeight="1">
      <c r="C912" s="117"/>
    </row>
    <row r="913" ht="14.25" customHeight="1">
      <c r="C913" s="117"/>
    </row>
    <row r="914" ht="14.25" customHeight="1">
      <c r="C914" s="117"/>
    </row>
    <row r="915" ht="14.25" customHeight="1">
      <c r="C915" s="117"/>
    </row>
    <row r="916" ht="14.25" customHeight="1">
      <c r="C916" s="117"/>
    </row>
    <row r="917" ht="14.25" customHeight="1">
      <c r="C917" s="117"/>
    </row>
    <row r="918" ht="14.25" customHeight="1">
      <c r="C918" s="117"/>
    </row>
    <row r="919" ht="14.25" customHeight="1">
      <c r="C919" s="117"/>
    </row>
    <row r="920" ht="14.25" customHeight="1">
      <c r="C920" s="117"/>
    </row>
    <row r="921" ht="14.25" customHeight="1">
      <c r="C921" s="117"/>
    </row>
    <row r="922" ht="14.25" customHeight="1">
      <c r="C922" s="117"/>
    </row>
    <row r="923" ht="14.25" customHeight="1">
      <c r="C923" s="117"/>
    </row>
    <row r="924" ht="14.25" customHeight="1">
      <c r="C924" s="117"/>
    </row>
    <row r="925" ht="14.25" customHeight="1">
      <c r="C925" s="117"/>
    </row>
    <row r="926" ht="14.25" customHeight="1">
      <c r="C926" s="117"/>
    </row>
    <row r="927" ht="14.25" customHeight="1">
      <c r="C927" s="117"/>
    </row>
    <row r="928" ht="14.25" customHeight="1">
      <c r="C928" s="117"/>
    </row>
    <row r="929" ht="14.25" customHeight="1">
      <c r="C929" s="117"/>
    </row>
    <row r="930" ht="14.25" customHeight="1">
      <c r="C930" s="117"/>
    </row>
    <row r="931" ht="14.25" customHeight="1">
      <c r="C931" s="117"/>
    </row>
    <row r="932" ht="14.25" customHeight="1">
      <c r="C932" s="117"/>
    </row>
    <row r="933" ht="14.25" customHeight="1">
      <c r="C933" s="117"/>
    </row>
    <row r="934" ht="14.25" customHeight="1">
      <c r="C934" s="117"/>
    </row>
    <row r="935" ht="14.25" customHeight="1">
      <c r="C935" s="117"/>
    </row>
    <row r="936" ht="14.25" customHeight="1">
      <c r="C936" s="117"/>
    </row>
    <row r="937" ht="14.25" customHeight="1">
      <c r="C937" s="117"/>
    </row>
    <row r="938" ht="14.25" customHeight="1">
      <c r="C938" s="117"/>
    </row>
    <row r="939" ht="14.25" customHeight="1">
      <c r="C939" s="117"/>
    </row>
    <row r="940" ht="14.25" customHeight="1">
      <c r="C940" s="117"/>
    </row>
    <row r="941" ht="14.25" customHeight="1">
      <c r="C941" s="117"/>
    </row>
    <row r="942" ht="14.25" customHeight="1">
      <c r="C942" s="117"/>
    </row>
    <row r="943" ht="14.25" customHeight="1">
      <c r="C943" s="117"/>
    </row>
    <row r="944" ht="14.25" customHeight="1">
      <c r="C944" s="117"/>
    </row>
    <row r="945" ht="14.25" customHeight="1">
      <c r="C945" s="117"/>
    </row>
    <row r="946" ht="14.25" customHeight="1">
      <c r="C946" s="117"/>
    </row>
    <row r="947" ht="14.25" customHeight="1">
      <c r="C947" s="117"/>
    </row>
    <row r="948" ht="14.25" customHeight="1">
      <c r="C948" s="117"/>
    </row>
    <row r="949" ht="14.25" customHeight="1">
      <c r="C949" s="117"/>
    </row>
    <row r="950" ht="14.25" customHeight="1">
      <c r="C950" s="117"/>
    </row>
    <row r="951" ht="14.25" customHeight="1">
      <c r="C951" s="117"/>
    </row>
    <row r="952" ht="14.25" customHeight="1">
      <c r="C952" s="117"/>
    </row>
    <row r="953" ht="14.25" customHeight="1">
      <c r="C953" s="117"/>
    </row>
    <row r="954" ht="14.25" customHeight="1">
      <c r="C954" s="117"/>
    </row>
    <row r="955" ht="14.25" customHeight="1">
      <c r="C955" s="117"/>
    </row>
    <row r="956" ht="14.25" customHeight="1">
      <c r="C956" s="117"/>
    </row>
    <row r="957" ht="14.25" customHeight="1">
      <c r="C957" s="117"/>
    </row>
    <row r="958" ht="14.25" customHeight="1">
      <c r="C958" s="117"/>
    </row>
    <row r="959" ht="14.25" customHeight="1">
      <c r="C959" s="117"/>
    </row>
    <row r="960" ht="14.25" customHeight="1">
      <c r="C960" s="117"/>
    </row>
    <row r="961" ht="14.25" customHeight="1">
      <c r="C961" s="117"/>
    </row>
    <row r="962" ht="14.25" customHeight="1">
      <c r="C962" s="117"/>
    </row>
    <row r="963" ht="14.25" customHeight="1">
      <c r="C963" s="117"/>
    </row>
    <row r="964" ht="14.25" customHeight="1">
      <c r="C964" s="117"/>
    </row>
    <row r="965" ht="14.25" customHeight="1">
      <c r="C965" s="117"/>
    </row>
    <row r="966" ht="14.25" customHeight="1">
      <c r="C966" s="117"/>
    </row>
    <row r="967" ht="14.25" customHeight="1">
      <c r="C967" s="117"/>
    </row>
    <row r="968" ht="14.25" customHeight="1">
      <c r="C968" s="117"/>
    </row>
    <row r="969" ht="14.25" customHeight="1">
      <c r="C969" s="117"/>
    </row>
    <row r="970" ht="14.25" customHeight="1">
      <c r="C970" s="117"/>
    </row>
    <row r="971" ht="14.25" customHeight="1">
      <c r="C971" s="117"/>
    </row>
    <row r="972" ht="14.25" customHeight="1">
      <c r="C972" s="117"/>
    </row>
    <row r="973" ht="14.25" customHeight="1">
      <c r="C973" s="117"/>
    </row>
    <row r="974" ht="14.25" customHeight="1">
      <c r="C974" s="117"/>
    </row>
    <row r="975" ht="14.25" customHeight="1">
      <c r="C975" s="117"/>
    </row>
    <row r="976" ht="14.25" customHeight="1">
      <c r="C976" s="117"/>
    </row>
    <row r="977" ht="14.25" customHeight="1">
      <c r="C977" s="117"/>
    </row>
    <row r="978" ht="14.25" customHeight="1">
      <c r="C978" s="117"/>
    </row>
    <row r="979" ht="14.25" customHeight="1">
      <c r="C979" s="117"/>
    </row>
    <row r="980" ht="14.25" customHeight="1">
      <c r="C980" s="117"/>
    </row>
    <row r="981" ht="14.25" customHeight="1">
      <c r="C981" s="117"/>
    </row>
    <row r="982" ht="14.25" customHeight="1">
      <c r="C982" s="117"/>
    </row>
    <row r="983" ht="14.25" customHeight="1">
      <c r="C983" s="117"/>
    </row>
    <row r="984" ht="14.25" customHeight="1">
      <c r="C984" s="117"/>
    </row>
    <row r="985" ht="14.25" customHeight="1">
      <c r="C985" s="117"/>
    </row>
    <row r="986" ht="14.25" customHeight="1">
      <c r="C986" s="117"/>
    </row>
    <row r="987" ht="14.25" customHeight="1">
      <c r="C987" s="117"/>
    </row>
    <row r="988" ht="14.25" customHeight="1">
      <c r="C988" s="117"/>
    </row>
    <row r="989" ht="14.25" customHeight="1">
      <c r="C989" s="117"/>
    </row>
    <row r="990" ht="14.25" customHeight="1">
      <c r="C990" s="117"/>
    </row>
    <row r="991" ht="14.25" customHeight="1">
      <c r="C991" s="117"/>
    </row>
    <row r="992" ht="14.25" customHeight="1">
      <c r="C992" s="117"/>
    </row>
    <row r="993" ht="14.25" customHeight="1">
      <c r="C993" s="117"/>
    </row>
    <row r="994" ht="14.25" customHeight="1">
      <c r="C994" s="117"/>
    </row>
    <row r="995" ht="14.25" customHeight="1">
      <c r="C995" s="117"/>
    </row>
    <row r="996" ht="14.25" customHeight="1">
      <c r="C996" s="117"/>
    </row>
    <row r="997" ht="14.25" customHeight="1">
      <c r="C997" s="117"/>
    </row>
    <row r="998" ht="14.25" customHeight="1">
      <c r="C998" s="117"/>
    </row>
  </sheetData>
  <autoFilter ref="$A$1:$C$99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